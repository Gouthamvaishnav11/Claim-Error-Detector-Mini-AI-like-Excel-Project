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f7013cbab2522cd4/Desktop/"/>
    </mc:Choice>
  </mc:AlternateContent>
  <xr:revisionPtr revIDLastSave="0" documentId="8_{8EEE5006-427D-46F7-98A2-629807B9555F}" xr6:coauthVersionLast="47" xr6:coauthVersionMax="47" xr10:uidLastSave="{00000000-0000-0000-0000-000000000000}"/>
  <bookViews>
    <workbookView xWindow="-108" yWindow="-108" windowWidth="23256" windowHeight="12456" firstSheet="2" activeTab="4" xr2:uid="{00000000-000D-0000-FFFF-FFFF00000000}"/>
  </bookViews>
  <sheets>
    <sheet name="Student_Skill_Data" sheetId="1" r:id="rId1"/>
    <sheet name="Pivot_Readiness" sheetId="10" r:id="rId2"/>
    <sheet name="Pivot Skill Levels" sheetId="3" r:id="rId3"/>
    <sheet name="placement of std" sheetId="8" r:id="rId4"/>
    <sheet name="Student Readiness Dashboard" sheetId="11" r:id="rId5"/>
  </sheets>
  <definedNames>
    <definedName name="Slicer_Placement_Status">#N/A</definedName>
    <definedName name="Slicer_Readiness_Level">#N/A</definedName>
    <definedName name="Slicer_Student_ID">#N/A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1" l="1"/>
  <c r="P1002" i="1"/>
  <c r="D3" i="11"/>
  <c r="C3" i="11"/>
  <c r="L1002" i="1"/>
  <c r="B3" i="11"/>
  <c r="A1002" i="1" s="1"/>
  <c r="A1" i="1"/>
  <c r="Q208" i="1"/>
  <c r="Q412" i="1"/>
  <c r="Q612" i="1"/>
  <c r="P998" i="1"/>
  <c r="P999" i="1"/>
  <c r="P1000" i="1"/>
  <c r="P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2" i="1"/>
  <c r="O37" i="1"/>
  <c r="Q37" i="1" s="1"/>
  <c r="O46" i="1"/>
  <c r="Q46" i="1" s="1"/>
  <c r="O47" i="1"/>
  <c r="Q47" i="1" s="1"/>
  <c r="O74" i="1"/>
  <c r="Q74" i="1" s="1"/>
  <c r="O126" i="1"/>
  <c r="Q126" i="1" s="1"/>
  <c r="O194" i="1"/>
  <c r="Q194" i="1" s="1"/>
  <c r="O198" i="1"/>
  <c r="Q198" i="1" s="1"/>
  <c r="O229" i="1"/>
  <c r="Q229" i="1" s="1"/>
  <c r="O236" i="1"/>
  <c r="Q236" i="1" s="1"/>
  <c r="O291" i="1"/>
  <c r="Q291" i="1" s="1"/>
  <c r="O308" i="1"/>
  <c r="Q308" i="1" s="1"/>
  <c r="O340" i="1"/>
  <c r="Q340" i="1" s="1"/>
  <c r="O363" i="1"/>
  <c r="Q363" i="1" s="1"/>
  <c r="O419" i="1"/>
  <c r="Q419" i="1" s="1"/>
  <c r="O436" i="1"/>
  <c r="Q436" i="1" s="1"/>
  <c r="O443" i="1"/>
  <c r="Q443" i="1" s="1"/>
  <c r="O491" i="1"/>
  <c r="Q491" i="1" s="1"/>
  <c r="O497" i="1"/>
  <c r="Q497" i="1" s="1"/>
  <c r="O515" i="1"/>
  <c r="Q515" i="1" s="1"/>
  <c r="O547" i="1"/>
  <c r="Q547" i="1" s="1"/>
  <c r="O564" i="1"/>
  <c r="Q564" i="1" s="1"/>
  <c r="O571" i="1"/>
  <c r="Q571" i="1" s="1"/>
  <c r="O577" i="1"/>
  <c r="Q577" i="1" s="1"/>
  <c r="O625" i="1"/>
  <c r="Q625" i="1" s="1"/>
  <c r="O643" i="1"/>
  <c r="Q643" i="1" s="1"/>
  <c r="O644" i="1"/>
  <c r="Q644" i="1" s="1"/>
  <c r="O692" i="1"/>
  <c r="Q692" i="1" s="1"/>
  <c r="O699" i="1"/>
  <c r="Q699" i="1" s="1"/>
  <c r="O705" i="1"/>
  <c r="Q705" i="1" s="1"/>
  <c r="O722" i="1"/>
  <c r="Q722" i="1" s="1"/>
  <c r="O771" i="1"/>
  <c r="Q771" i="1" s="1"/>
  <c r="O772" i="1"/>
  <c r="Q772" i="1" s="1"/>
  <c r="O779" i="1"/>
  <c r="Q779" i="1" s="1"/>
  <c r="O827" i="1"/>
  <c r="Q827" i="1" s="1"/>
  <c r="O833" i="1"/>
  <c r="Q833" i="1" s="1"/>
  <c r="O851" i="1"/>
  <c r="Q851" i="1" s="1"/>
  <c r="O899" i="1"/>
  <c r="Q899" i="1" s="1"/>
  <c r="O900" i="1"/>
  <c r="Q900" i="1" s="1"/>
  <c r="O907" i="1"/>
  <c r="Q907" i="1" s="1"/>
  <c r="O929" i="1"/>
  <c r="Q929" i="1" s="1"/>
  <c r="O979" i="1"/>
  <c r="Q979" i="1" s="1"/>
  <c r="O980" i="1"/>
  <c r="Q980"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3" i="1"/>
  <c r="O3" i="1" s="1"/>
  <c r="Q3" i="1" s="1"/>
  <c r="L5" i="1"/>
  <c r="O5" i="1" s="1"/>
  <c r="Q5" i="1" s="1"/>
  <c r="L13" i="1"/>
  <c r="O13" i="1" s="1"/>
  <c r="Q13" i="1" s="1"/>
  <c r="L16" i="1"/>
  <c r="O16" i="1" s="1"/>
  <c r="Q16" i="1" s="1"/>
  <c r="L17" i="1"/>
  <c r="O17" i="1" s="1"/>
  <c r="Q17" i="1" s="1"/>
  <c r="L24" i="1"/>
  <c r="O24" i="1" s="1"/>
  <c r="Q24" i="1" s="1"/>
  <c r="L25" i="1"/>
  <c r="O25" i="1" s="1"/>
  <c r="Q25" i="1" s="1"/>
  <c r="L26" i="1"/>
  <c r="O26" i="1" s="1"/>
  <c r="Q26" i="1" s="1"/>
  <c r="L27" i="1"/>
  <c r="O27" i="1" s="1"/>
  <c r="Q27" i="1" s="1"/>
  <c r="L40" i="1"/>
  <c r="O40" i="1" s="1"/>
  <c r="Q40" i="1" s="1"/>
  <c r="L41" i="1"/>
  <c r="O41" i="1" s="1"/>
  <c r="Q41" i="1" s="1"/>
  <c r="L42" i="1"/>
  <c r="O42" i="1" s="1"/>
  <c r="Q42" i="1" s="1"/>
  <c r="L49" i="1"/>
  <c r="O49" i="1" s="1"/>
  <c r="Q49" i="1" s="1"/>
  <c r="L50" i="1"/>
  <c r="O50" i="1" s="1"/>
  <c r="Q50" i="1" s="1"/>
  <c r="L51" i="1"/>
  <c r="O51" i="1" s="1"/>
  <c r="Q51" i="1" s="1"/>
  <c r="L64" i="1"/>
  <c r="O64" i="1" s="1"/>
  <c r="Q64" i="1" s="1"/>
  <c r="L67" i="1"/>
  <c r="O67" i="1" s="1"/>
  <c r="Q67" i="1" s="1"/>
  <c r="L72" i="1"/>
  <c r="O72" i="1" s="1"/>
  <c r="Q72" i="1" s="1"/>
  <c r="L73" i="1"/>
  <c r="O73" i="1" s="1"/>
  <c r="Q73" i="1" s="1"/>
  <c r="L88" i="1"/>
  <c r="O88" i="1" s="1"/>
  <c r="Q88" i="1" s="1"/>
  <c r="L89" i="1"/>
  <c r="O89" i="1" s="1"/>
  <c r="Q89" i="1" s="1"/>
  <c r="L90" i="1"/>
  <c r="O90" i="1" s="1"/>
  <c r="Q90" i="1" s="1"/>
  <c r="L98" i="1"/>
  <c r="O98" i="1" s="1"/>
  <c r="Q98" i="1" s="1"/>
  <c r="L99" i="1"/>
  <c r="O99" i="1" s="1"/>
  <c r="Q99" i="1" s="1"/>
  <c r="L104" i="1"/>
  <c r="O104" i="1" s="1"/>
  <c r="Q104" i="1" s="1"/>
  <c r="L113" i="1"/>
  <c r="O113" i="1" s="1"/>
  <c r="Q113" i="1" s="1"/>
  <c r="L114" i="1"/>
  <c r="O114" i="1" s="1"/>
  <c r="Q114" i="1" s="1"/>
  <c r="L115" i="1"/>
  <c r="O115" i="1" s="1"/>
  <c r="Q115" i="1" s="1"/>
  <c r="L122" i="1"/>
  <c r="O122" i="1" s="1"/>
  <c r="Q122" i="1" s="1"/>
  <c r="L123" i="1"/>
  <c r="L136" i="1"/>
  <c r="O136" i="1" s="1"/>
  <c r="Q136" i="1" s="1"/>
  <c r="L137" i="1"/>
  <c r="O137" i="1" s="1"/>
  <c r="Q137" i="1" s="1"/>
  <c r="L140" i="1"/>
  <c r="O140" i="1" s="1"/>
  <c r="Q140" i="1" s="1"/>
  <c r="L146" i="1"/>
  <c r="O146" i="1" s="1"/>
  <c r="Q146" i="1" s="1"/>
  <c r="L149" i="1"/>
  <c r="O149" i="1" s="1"/>
  <c r="Q149" i="1" s="1"/>
  <c r="L152" i="1"/>
  <c r="O152" i="1" s="1"/>
  <c r="Q152" i="1" s="1"/>
  <c r="L160" i="1"/>
  <c r="O160" i="1" s="1"/>
  <c r="Q160" i="1" s="1"/>
  <c r="L161" i="1"/>
  <c r="O161" i="1" s="1"/>
  <c r="Q161" i="1" s="1"/>
  <c r="L162" i="1"/>
  <c r="O162" i="1" s="1"/>
  <c r="Q162" i="1" s="1"/>
  <c r="L163" i="1"/>
  <c r="O163" i="1" s="1"/>
  <c r="Q163" i="1" s="1"/>
  <c r="L171" i="1"/>
  <c r="L172" i="1"/>
  <c r="O172" i="1" s="1"/>
  <c r="Q172" i="1" s="1"/>
  <c r="L177" i="1"/>
  <c r="O177" i="1" s="1"/>
  <c r="Q177" i="1" s="1"/>
  <c r="L186" i="1"/>
  <c r="O186" i="1" s="1"/>
  <c r="Q186" i="1" s="1"/>
  <c r="L187" i="1"/>
  <c r="L188" i="1"/>
  <c r="O188" i="1" s="1"/>
  <c r="Q188" i="1" s="1"/>
  <c r="L197" i="1"/>
  <c r="O197" i="1" s="1"/>
  <c r="Q197" i="1" s="1"/>
  <c r="L199" i="1"/>
  <c r="O199" i="1" s="1"/>
  <c r="Q199" i="1" s="1"/>
  <c r="L200" i="1"/>
  <c r="O200" i="1" s="1"/>
  <c r="Q200" i="1" s="1"/>
  <c r="L208" i="1"/>
  <c r="O208" i="1" s="1"/>
  <c r="L209" i="1"/>
  <c r="O209" i="1" s="1"/>
  <c r="Q209" i="1" s="1"/>
  <c r="L210" i="1"/>
  <c r="O210" i="1" s="1"/>
  <c r="Q210" i="1" s="1"/>
  <c r="L219" i="1"/>
  <c r="L222" i="1"/>
  <c r="O222" i="1" s="1"/>
  <c r="Q222" i="1" s="1"/>
  <c r="L223" i="1"/>
  <c r="O223" i="1" s="1"/>
  <c r="Q223" i="1" s="1"/>
  <c r="L224" i="1"/>
  <c r="O224" i="1" s="1"/>
  <c r="Q224" i="1" s="1"/>
  <c r="L232" i="1"/>
  <c r="O232" i="1" s="1"/>
  <c r="Q232" i="1" s="1"/>
  <c r="L233" i="1"/>
  <c r="O233" i="1" s="1"/>
  <c r="Q233" i="1" s="1"/>
  <c r="L234" i="1"/>
  <c r="O234" i="1" s="1"/>
  <c r="Q234" i="1" s="1"/>
  <c r="L240" i="1"/>
  <c r="O240" i="1" s="1"/>
  <c r="Q240" i="1" s="1"/>
  <c r="L241" i="1"/>
  <c r="O241" i="1" s="1"/>
  <c r="Q241" i="1" s="1"/>
  <c r="L242" i="1"/>
  <c r="O242" i="1" s="1"/>
  <c r="Q242" i="1" s="1"/>
  <c r="L243" i="1"/>
  <c r="O243" i="1" s="1"/>
  <c r="Q243" i="1" s="1"/>
  <c r="L251" i="1"/>
  <c r="O251" i="1" s="1"/>
  <c r="Q251" i="1" s="1"/>
  <c r="L256" i="1"/>
  <c r="O256" i="1" s="1"/>
  <c r="Q256" i="1" s="1"/>
  <c r="L263" i="1"/>
  <c r="O263" i="1" s="1"/>
  <c r="Q263" i="1" s="1"/>
  <c r="L264" i="1"/>
  <c r="O264" i="1" s="1"/>
  <c r="Q264" i="1" s="1"/>
  <c r="L265" i="1"/>
  <c r="O265" i="1" s="1"/>
  <c r="Q265" i="1" s="1"/>
  <c r="L266" i="1"/>
  <c r="O266" i="1" s="1"/>
  <c r="Q266" i="1" s="1"/>
  <c r="L272" i="1"/>
  <c r="O272" i="1" s="1"/>
  <c r="Q272" i="1" s="1"/>
  <c r="L273" i="1"/>
  <c r="O273" i="1" s="1"/>
  <c r="Q273" i="1" s="1"/>
  <c r="L274" i="1"/>
  <c r="O274" i="1" s="1"/>
  <c r="Q274" i="1" s="1"/>
  <c r="L275" i="1"/>
  <c r="O275" i="1" s="1"/>
  <c r="Q275" i="1" s="1"/>
  <c r="L278" i="1"/>
  <c r="O278" i="1" s="1"/>
  <c r="Q278" i="1" s="1"/>
  <c r="L283" i="1"/>
  <c r="O283" i="1" s="1"/>
  <c r="Q283" i="1" s="1"/>
  <c r="L285" i="1"/>
  <c r="O285" i="1" s="1"/>
  <c r="Q285" i="1" s="1"/>
  <c r="L296" i="1"/>
  <c r="O296" i="1" s="1"/>
  <c r="Q296" i="1" s="1"/>
  <c r="L302" i="1"/>
  <c r="O302" i="1" s="1"/>
  <c r="Q302" i="1" s="1"/>
  <c r="L303" i="1"/>
  <c r="O303" i="1" s="1"/>
  <c r="Q303" i="1" s="1"/>
  <c r="L304" i="1"/>
  <c r="O304" i="1" s="1"/>
  <c r="Q304" i="1" s="1"/>
  <c r="L305" i="1"/>
  <c r="O305" i="1" s="1"/>
  <c r="Q305" i="1" s="1"/>
  <c r="L312" i="1"/>
  <c r="O312" i="1" s="1"/>
  <c r="Q312" i="1" s="1"/>
  <c r="L313" i="1"/>
  <c r="O313" i="1" s="1"/>
  <c r="Q313" i="1" s="1"/>
  <c r="L314" i="1"/>
  <c r="O314" i="1" s="1"/>
  <c r="Q314" i="1" s="1"/>
  <c r="L320" i="1"/>
  <c r="O320" i="1" s="1"/>
  <c r="Q320" i="1" s="1"/>
  <c r="L321" i="1"/>
  <c r="O321" i="1" s="1"/>
  <c r="Q321" i="1" s="1"/>
  <c r="L322" i="1"/>
  <c r="O322" i="1" s="1"/>
  <c r="Q322" i="1" s="1"/>
  <c r="L323" i="1"/>
  <c r="O323" i="1" s="1"/>
  <c r="Q323" i="1" s="1"/>
  <c r="L328" i="1"/>
  <c r="O328" i="1" s="1"/>
  <c r="Q328" i="1" s="1"/>
  <c r="L329" i="1"/>
  <c r="O329" i="1" s="1"/>
  <c r="Q329" i="1" s="1"/>
  <c r="L330" i="1"/>
  <c r="O330" i="1" s="1"/>
  <c r="Q330" i="1" s="1"/>
  <c r="L331" i="1"/>
  <c r="O331" i="1" s="1"/>
  <c r="Q331" i="1" s="1"/>
  <c r="L333" i="1"/>
  <c r="O333" i="1" s="1"/>
  <c r="Q333" i="1" s="1"/>
  <c r="L338" i="1"/>
  <c r="O338" i="1" s="1"/>
  <c r="Q338" i="1" s="1"/>
  <c r="L339" i="1"/>
  <c r="O339" i="1" s="1"/>
  <c r="Q339" i="1" s="1"/>
  <c r="L347" i="1"/>
  <c r="L349" i="1"/>
  <c r="O349" i="1" s="1"/>
  <c r="Q349" i="1" s="1"/>
  <c r="L350" i="1"/>
  <c r="O350" i="1" s="1"/>
  <c r="Q350" i="1" s="1"/>
  <c r="L351" i="1"/>
  <c r="O351" i="1" s="1"/>
  <c r="Q351" i="1" s="1"/>
  <c r="L357" i="1"/>
  <c r="O357" i="1" s="1"/>
  <c r="Q357" i="1" s="1"/>
  <c r="L360" i="1"/>
  <c r="O360" i="1" s="1"/>
  <c r="Q360" i="1" s="1"/>
  <c r="L368" i="1"/>
  <c r="O368" i="1" s="1"/>
  <c r="Q368" i="1" s="1"/>
  <c r="L369" i="1"/>
  <c r="O369" i="1" s="1"/>
  <c r="Q369" i="1" s="1"/>
  <c r="L375" i="1"/>
  <c r="O375" i="1" s="1"/>
  <c r="Q375" i="1" s="1"/>
  <c r="L376" i="1"/>
  <c r="O376" i="1" s="1"/>
  <c r="Q376" i="1" s="1"/>
  <c r="L377" i="1"/>
  <c r="O377" i="1" s="1"/>
  <c r="Q377" i="1" s="1"/>
  <c r="L378" i="1"/>
  <c r="O378" i="1" s="1"/>
  <c r="Q378" i="1" s="1"/>
  <c r="L384" i="1"/>
  <c r="O384" i="1" s="1"/>
  <c r="Q384" i="1" s="1"/>
  <c r="L385" i="1"/>
  <c r="O385" i="1" s="1"/>
  <c r="Q385" i="1" s="1"/>
  <c r="L386" i="1"/>
  <c r="O386" i="1" s="1"/>
  <c r="Q386" i="1" s="1"/>
  <c r="L387" i="1"/>
  <c r="O387" i="1" s="1"/>
  <c r="Q387" i="1" s="1"/>
  <c r="L392" i="1"/>
  <c r="O392" i="1" s="1"/>
  <c r="Q392" i="1" s="1"/>
  <c r="L393" i="1"/>
  <c r="O393" i="1" s="1"/>
  <c r="Q393" i="1" s="1"/>
  <c r="L394" i="1"/>
  <c r="O394" i="1" s="1"/>
  <c r="Q394" i="1" s="1"/>
  <c r="L395" i="1"/>
  <c r="O395" i="1" s="1"/>
  <c r="Q395" i="1" s="1"/>
  <c r="L402" i="1"/>
  <c r="O402" i="1" s="1"/>
  <c r="Q402" i="1" s="1"/>
  <c r="L403" i="1"/>
  <c r="O403" i="1" s="1"/>
  <c r="Q403" i="1" s="1"/>
  <c r="L405" i="1"/>
  <c r="O405" i="1" s="1"/>
  <c r="Q405" i="1" s="1"/>
  <c r="L406" i="1"/>
  <c r="O406" i="1" s="1"/>
  <c r="Q406" i="1" s="1"/>
  <c r="L411" i="1"/>
  <c r="O411" i="1" s="1"/>
  <c r="Q411" i="1" s="1"/>
  <c r="L421" i="1"/>
  <c r="O421" i="1" s="1"/>
  <c r="Q421" i="1" s="1"/>
  <c r="L422" i="1"/>
  <c r="O422" i="1" s="1"/>
  <c r="Q422" i="1" s="1"/>
  <c r="L423" i="1"/>
  <c r="O423" i="1" s="1"/>
  <c r="Q423" i="1" s="1"/>
  <c r="L424" i="1"/>
  <c r="O424" i="1" s="1"/>
  <c r="Q424" i="1" s="1"/>
  <c r="L432" i="1"/>
  <c r="O432" i="1" s="1"/>
  <c r="Q432" i="1" s="1"/>
  <c r="L433" i="1"/>
  <c r="O433" i="1" s="1"/>
  <c r="Q433" i="1" s="1"/>
  <c r="L440" i="1"/>
  <c r="O440" i="1" s="1"/>
  <c r="Q440" i="1" s="1"/>
  <c r="L441" i="1"/>
  <c r="O441" i="1" s="1"/>
  <c r="Q441" i="1" s="1"/>
  <c r="L442" i="1"/>
  <c r="O442" i="1" s="1"/>
  <c r="Q442" i="1" s="1"/>
  <c r="L448" i="1"/>
  <c r="O448" i="1" s="1"/>
  <c r="Q448" i="1" s="1"/>
  <c r="L449" i="1"/>
  <c r="O449" i="1" s="1"/>
  <c r="Q449" i="1" s="1"/>
  <c r="L450" i="1"/>
  <c r="O450" i="1" s="1"/>
  <c r="Q450" i="1" s="1"/>
  <c r="L451" i="1"/>
  <c r="L456" i="1"/>
  <c r="O456" i="1" s="1"/>
  <c r="Q456" i="1" s="1"/>
  <c r="L457" i="1"/>
  <c r="O457" i="1" s="1"/>
  <c r="Q457" i="1" s="1"/>
  <c r="L458" i="1"/>
  <c r="O458" i="1" s="1"/>
  <c r="Q458" i="1" s="1"/>
  <c r="L459" i="1"/>
  <c r="O459" i="1" s="1"/>
  <c r="Q459" i="1" s="1"/>
  <c r="L466" i="1"/>
  <c r="O466" i="1" s="1"/>
  <c r="Q466" i="1" s="1"/>
  <c r="L467" i="1"/>
  <c r="O467" i="1" s="1"/>
  <c r="Q467" i="1" s="1"/>
  <c r="L470" i="1"/>
  <c r="O470" i="1" s="1"/>
  <c r="Q470" i="1" s="1"/>
  <c r="L475" i="1"/>
  <c r="O475" i="1" s="1"/>
  <c r="Q475" i="1" s="1"/>
  <c r="L477" i="1"/>
  <c r="O477" i="1" s="1"/>
  <c r="Q477" i="1" s="1"/>
  <c r="L478" i="1"/>
  <c r="O478" i="1" s="1"/>
  <c r="Q478" i="1" s="1"/>
  <c r="L488" i="1"/>
  <c r="O488" i="1" s="1"/>
  <c r="Q488" i="1" s="1"/>
  <c r="L494" i="1"/>
  <c r="O494" i="1" s="1"/>
  <c r="Q494" i="1" s="1"/>
  <c r="L495" i="1"/>
  <c r="O495" i="1" s="1"/>
  <c r="Q495" i="1" s="1"/>
  <c r="L496" i="1"/>
  <c r="O496" i="1" s="1"/>
  <c r="Q496" i="1" s="1"/>
  <c r="L497" i="1"/>
  <c r="L504" i="1"/>
  <c r="O504" i="1" s="1"/>
  <c r="Q504" i="1" s="1"/>
  <c r="L505" i="1"/>
  <c r="O505" i="1" s="1"/>
  <c r="Q505" i="1" s="1"/>
  <c r="L506" i="1"/>
  <c r="O506" i="1" s="1"/>
  <c r="Q506" i="1" s="1"/>
  <c r="L512" i="1"/>
  <c r="O512" i="1" s="1"/>
  <c r="Q512" i="1" s="1"/>
  <c r="L513" i="1"/>
  <c r="O513" i="1" s="1"/>
  <c r="Q513" i="1" s="1"/>
  <c r="L514" i="1"/>
  <c r="O514" i="1" s="1"/>
  <c r="Q514" i="1" s="1"/>
  <c r="L515" i="1"/>
  <c r="L520" i="1"/>
  <c r="O520" i="1" s="1"/>
  <c r="Q520" i="1" s="1"/>
  <c r="L521" i="1"/>
  <c r="O521" i="1" s="1"/>
  <c r="Q521" i="1" s="1"/>
  <c r="L522" i="1"/>
  <c r="O522" i="1" s="1"/>
  <c r="Q522" i="1" s="1"/>
  <c r="L523" i="1"/>
  <c r="O523" i="1" s="1"/>
  <c r="Q523" i="1" s="1"/>
  <c r="L525" i="1"/>
  <c r="O525" i="1" s="1"/>
  <c r="Q525" i="1" s="1"/>
  <c r="L530" i="1"/>
  <c r="O530" i="1" s="1"/>
  <c r="Q530" i="1" s="1"/>
  <c r="L531" i="1"/>
  <c r="O531" i="1" s="1"/>
  <c r="Q531" i="1" s="1"/>
  <c r="L539" i="1"/>
  <c r="O539" i="1" s="1"/>
  <c r="Q539" i="1" s="1"/>
  <c r="L542" i="1"/>
  <c r="O542" i="1" s="1"/>
  <c r="Q542" i="1" s="1"/>
  <c r="L543" i="1"/>
  <c r="O543" i="1" s="1"/>
  <c r="Q543" i="1" s="1"/>
  <c r="L549" i="1"/>
  <c r="O549" i="1" s="1"/>
  <c r="Q549" i="1" s="1"/>
  <c r="L550" i="1"/>
  <c r="O550" i="1" s="1"/>
  <c r="Q550" i="1" s="1"/>
  <c r="L552" i="1"/>
  <c r="O552" i="1" s="1"/>
  <c r="Q552" i="1" s="1"/>
  <c r="L560" i="1"/>
  <c r="O560" i="1" s="1"/>
  <c r="Q560" i="1" s="1"/>
  <c r="L561" i="1"/>
  <c r="O561" i="1" s="1"/>
  <c r="Q561" i="1" s="1"/>
  <c r="L567" i="1"/>
  <c r="O567" i="1" s="1"/>
  <c r="Q567" i="1" s="1"/>
  <c r="L568" i="1"/>
  <c r="O568" i="1" s="1"/>
  <c r="Q568" i="1" s="1"/>
  <c r="L569" i="1"/>
  <c r="O569" i="1" s="1"/>
  <c r="Q569" i="1" s="1"/>
  <c r="L570" i="1"/>
  <c r="O570" i="1" s="1"/>
  <c r="Q570" i="1" s="1"/>
  <c r="L576" i="1"/>
  <c r="O576" i="1" s="1"/>
  <c r="Q576" i="1" s="1"/>
  <c r="L577" i="1"/>
  <c r="L578" i="1"/>
  <c r="O578" i="1" s="1"/>
  <c r="Q578" i="1" s="1"/>
  <c r="L579" i="1"/>
  <c r="O579" i="1" s="1"/>
  <c r="Q579" i="1" s="1"/>
  <c r="L584" i="1"/>
  <c r="O584" i="1" s="1"/>
  <c r="Q584" i="1" s="1"/>
  <c r="L585" i="1"/>
  <c r="O585" i="1" s="1"/>
  <c r="Q585" i="1" s="1"/>
  <c r="L586" i="1"/>
  <c r="O586" i="1" s="1"/>
  <c r="Q586" i="1" s="1"/>
  <c r="L587" i="1"/>
  <c r="O587" i="1" s="1"/>
  <c r="Q587" i="1" s="1"/>
  <c r="L594" i="1"/>
  <c r="O594" i="1" s="1"/>
  <c r="Q594" i="1" s="1"/>
  <c r="L595" i="1"/>
  <c r="O595" i="1" s="1"/>
  <c r="Q595" i="1" s="1"/>
  <c r="L597" i="1"/>
  <c r="O597" i="1" s="1"/>
  <c r="Q597" i="1" s="1"/>
  <c r="L598" i="1"/>
  <c r="O598" i="1" s="1"/>
  <c r="Q598" i="1" s="1"/>
  <c r="L603" i="1"/>
  <c r="O603" i="1" s="1"/>
  <c r="Q603" i="1" s="1"/>
  <c r="L614" i="1"/>
  <c r="O614" i="1" s="1"/>
  <c r="Q614" i="1" s="1"/>
  <c r="L615" i="1"/>
  <c r="O615" i="1" s="1"/>
  <c r="Q615" i="1" s="1"/>
  <c r="L616" i="1"/>
  <c r="O616" i="1" s="1"/>
  <c r="Q616" i="1" s="1"/>
  <c r="L622" i="1"/>
  <c r="O622" i="1" s="1"/>
  <c r="Q622" i="1" s="1"/>
  <c r="L624" i="1"/>
  <c r="O624" i="1" s="1"/>
  <c r="Q624" i="1" s="1"/>
  <c r="L625" i="1"/>
  <c r="L632" i="1"/>
  <c r="O632" i="1" s="1"/>
  <c r="Q632" i="1" s="1"/>
  <c r="L633" i="1"/>
  <c r="O633" i="1" s="1"/>
  <c r="Q633" i="1" s="1"/>
  <c r="L634" i="1"/>
  <c r="O634" i="1" s="1"/>
  <c r="Q634" i="1" s="1"/>
  <c r="L640" i="1"/>
  <c r="O640" i="1" s="1"/>
  <c r="Q640" i="1" s="1"/>
  <c r="L641" i="1"/>
  <c r="O641" i="1" s="1"/>
  <c r="Q641" i="1" s="1"/>
  <c r="L642" i="1"/>
  <c r="O642" i="1" s="1"/>
  <c r="Q642" i="1" s="1"/>
  <c r="L643" i="1"/>
  <c r="L648" i="1"/>
  <c r="O648" i="1" s="1"/>
  <c r="Q648" i="1" s="1"/>
  <c r="L649" i="1"/>
  <c r="O649" i="1" s="1"/>
  <c r="Q649" i="1" s="1"/>
  <c r="L650" i="1"/>
  <c r="O650" i="1" s="1"/>
  <c r="Q650" i="1" s="1"/>
  <c r="L651" i="1"/>
  <c r="O651" i="1" s="1"/>
  <c r="Q651" i="1" s="1"/>
  <c r="L653" i="1"/>
  <c r="O653" i="1" s="1"/>
  <c r="Q653" i="1" s="1"/>
  <c r="L658" i="1"/>
  <c r="O658" i="1" s="1"/>
  <c r="Q658" i="1" s="1"/>
  <c r="L659" i="1"/>
  <c r="O659" i="1" s="1"/>
  <c r="Q659" i="1" s="1"/>
  <c r="L667" i="1"/>
  <c r="O667" i="1" s="1"/>
  <c r="Q667" i="1" s="1"/>
  <c r="L669" i="1"/>
  <c r="O669" i="1" s="1"/>
  <c r="Q669" i="1" s="1"/>
  <c r="L670" i="1"/>
  <c r="O670" i="1" s="1"/>
  <c r="Q670" i="1" s="1"/>
  <c r="L671" i="1"/>
  <c r="O671" i="1" s="1"/>
  <c r="Q671" i="1" s="1"/>
  <c r="L680" i="1"/>
  <c r="O680" i="1" s="1"/>
  <c r="Q680" i="1" s="1"/>
  <c r="L686" i="1"/>
  <c r="O686" i="1" s="1"/>
  <c r="Q686" i="1" s="1"/>
  <c r="L687" i="1"/>
  <c r="O687" i="1" s="1"/>
  <c r="Q687" i="1" s="1"/>
  <c r="L688" i="1"/>
  <c r="O688" i="1" s="1"/>
  <c r="Q688" i="1" s="1"/>
  <c r="L689" i="1"/>
  <c r="O689" i="1" s="1"/>
  <c r="Q689" i="1" s="1"/>
  <c r="L696" i="1"/>
  <c r="O696" i="1" s="1"/>
  <c r="Q696" i="1" s="1"/>
  <c r="L697" i="1"/>
  <c r="O697" i="1" s="1"/>
  <c r="Q697" i="1" s="1"/>
  <c r="L698" i="1"/>
  <c r="O698" i="1" s="1"/>
  <c r="Q698" i="1" s="1"/>
  <c r="L704" i="1"/>
  <c r="O704" i="1" s="1"/>
  <c r="Q704" i="1" s="1"/>
  <c r="L705" i="1"/>
  <c r="L706" i="1"/>
  <c r="O706" i="1" s="1"/>
  <c r="Q706" i="1" s="1"/>
  <c r="L707" i="1"/>
  <c r="O707" i="1" s="1"/>
  <c r="Q707" i="1" s="1"/>
  <c r="L712" i="1"/>
  <c r="O712" i="1" s="1"/>
  <c r="Q712" i="1" s="1"/>
  <c r="L713" i="1"/>
  <c r="O713" i="1" s="1"/>
  <c r="Q713" i="1" s="1"/>
  <c r="L714" i="1"/>
  <c r="O714" i="1" s="1"/>
  <c r="Q714" i="1" s="1"/>
  <c r="L715" i="1"/>
  <c r="L717" i="1"/>
  <c r="O717" i="1" s="1"/>
  <c r="Q717" i="1" s="1"/>
  <c r="L722" i="1"/>
  <c r="L723" i="1"/>
  <c r="O723" i="1" s="1"/>
  <c r="Q723" i="1" s="1"/>
  <c r="L725" i="1"/>
  <c r="O725" i="1" s="1"/>
  <c r="Q725" i="1" s="1"/>
  <c r="L731" i="1"/>
  <c r="O731" i="1" s="1"/>
  <c r="Q731" i="1" s="1"/>
  <c r="L741" i="1"/>
  <c r="O741" i="1" s="1"/>
  <c r="Q741" i="1" s="1"/>
  <c r="L742" i="1"/>
  <c r="O742" i="1" s="1"/>
  <c r="Q742" i="1" s="1"/>
  <c r="L743" i="1"/>
  <c r="O743" i="1" s="1"/>
  <c r="Q743" i="1" s="1"/>
  <c r="L744" i="1"/>
  <c r="O744" i="1" s="1"/>
  <c r="Q744" i="1" s="1"/>
  <c r="L752" i="1"/>
  <c r="O752" i="1" s="1"/>
  <c r="Q752" i="1" s="1"/>
  <c r="L753" i="1"/>
  <c r="O753" i="1" s="1"/>
  <c r="Q753" i="1" s="1"/>
  <c r="L759" i="1"/>
  <c r="O759" i="1" s="1"/>
  <c r="Q759" i="1" s="1"/>
  <c r="L760" i="1"/>
  <c r="O760" i="1" s="1"/>
  <c r="Q760" i="1" s="1"/>
  <c r="L761" i="1"/>
  <c r="O761" i="1" s="1"/>
  <c r="Q761" i="1" s="1"/>
  <c r="L762" i="1"/>
  <c r="O762" i="1" s="1"/>
  <c r="Q762" i="1" s="1"/>
  <c r="L768" i="1"/>
  <c r="O768" i="1" s="1"/>
  <c r="Q768" i="1" s="1"/>
  <c r="L769" i="1"/>
  <c r="O769" i="1" s="1"/>
  <c r="Q769" i="1" s="1"/>
  <c r="L770" i="1"/>
  <c r="O770" i="1" s="1"/>
  <c r="Q770" i="1" s="1"/>
  <c r="L771" i="1"/>
  <c r="L776" i="1"/>
  <c r="O776" i="1" s="1"/>
  <c r="Q776" i="1" s="1"/>
  <c r="L777" i="1"/>
  <c r="O777" i="1" s="1"/>
  <c r="Q777" i="1" s="1"/>
  <c r="L778" i="1"/>
  <c r="O778" i="1" s="1"/>
  <c r="Q778" i="1" s="1"/>
  <c r="L779" i="1"/>
  <c r="L786" i="1"/>
  <c r="O786" i="1" s="1"/>
  <c r="Q786" i="1" s="1"/>
  <c r="L787" i="1"/>
  <c r="L789" i="1"/>
  <c r="O789" i="1" s="1"/>
  <c r="Q789" i="1" s="1"/>
  <c r="L790" i="1"/>
  <c r="O790" i="1" s="1"/>
  <c r="Q790" i="1" s="1"/>
  <c r="L795" i="1"/>
  <c r="O795" i="1" s="1"/>
  <c r="Q795" i="1" s="1"/>
  <c r="L797" i="1"/>
  <c r="O797" i="1" s="1"/>
  <c r="Q797" i="1" s="1"/>
  <c r="L808" i="1"/>
  <c r="O808" i="1" s="1"/>
  <c r="Q808" i="1" s="1"/>
  <c r="L814" i="1"/>
  <c r="O814" i="1" s="1"/>
  <c r="Q814" i="1" s="1"/>
  <c r="L815" i="1"/>
  <c r="O815" i="1" s="1"/>
  <c r="Q815" i="1" s="1"/>
  <c r="L816" i="1"/>
  <c r="O816" i="1" s="1"/>
  <c r="Q816" i="1" s="1"/>
  <c r="L817" i="1"/>
  <c r="O817" i="1" s="1"/>
  <c r="Q817" i="1" s="1"/>
  <c r="L824" i="1"/>
  <c r="O824" i="1" s="1"/>
  <c r="Q824" i="1" s="1"/>
  <c r="L825" i="1"/>
  <c r="O825" i="1" s="1"/>
  <c r="Q825" i="1" s="1"/>
  <c r="L830" i="1"/>
  <c r="O830" i="1" s="1"/>
  <c r="Q830" i="1" s="1"/>
  <c r="L831" i="1"/>
  <c r="O831" i="1" s="1"/>
  <c r="Q831" i="1" s="1"/>
  <c r="L832" i="1"/>
  <c r="O832" i="1" s="1"/>
  <c r="Q832" i="1" s="1"/>
  <c r="L833" i="1"/>
  <c r="L840" i="1"/>
  <c r="O840" i="1" s="1"/>
  <c r="Q840" i="1" s="1"/>
  <c r="L841" i="1"/>
  <c r="O841" i="1" s="1"/>
  <c r="Q841" i="1" s="1"/>
  <c r="L846" i="1"/>
  <c r="O846" i="1" s="1"/>
  <c r="Q846" i="1" s="1"/>
  <c r="L847" i="1"/>
  <c r="O847" i="1" s="1"/>
  <c r="Q847" i="1" s="1"/>
  <c r="L848" i="1"/>
  <c r="O848" i="1" s="1"/>
  <c r="Q848" i="1" s="1"/>
  <c r="L849" i="1"/>
  <c r="O849" i="1" s="1"/>
  <c r="Q849" i="1" s="1"/>
  <c r="L856" i="1"/>
  <c r="O856" i="1" s="1"/>
  <c r="Q856" i="1" s="1"/>
  <c r="L857" i="1"/>
  <c r="O857" i="1" s="1"/>
  <c r="Q857" i="1" s="1"/>
  <c r="L862" i="1"/>
  <c r="O862" i="1" s="1"/>
  <c r="Q862" i="1" s="1"/>
  <c r="L863" i="1"/>
  <c r="O863" i="1" s="1"/>
  <c r="Q863" i="1" s="1"/>
  <c r="L864" i="1"/>
  <c r="O864" i="1" s="1"/>
  <c r="Q864" i="1" s="1"/>
  <c r="L865" i="1"/>
  <c r="O865" i="1" s="1"/>
  <c r="Q865" i="1" s="1"/>
  <c r="L872" i="1"/>
  <c r="O872" i="1" s="1"/>
  <c r="Q872" i="1" s="1"/>
  <c r="L873" i="1"/>
  <c r="O873" i="1" s="1"/>
  <c r="Q873" i="1" s="1"/>
  <c r="L878" i="1"/>
  <c r="O878" i="1" s="1"/>
  <c r="Q878" i="1" s="1"/>
  <c r="L879" i="1"/>
  <c r="O879" i="1" s="1"/>
  <c r="Q879" i="1" s="1"/>
  <c r="L880" i="1"/>
  <c r="O880" i="1" s="1"/>
  <c r="Q880" i="1" s="1"/>
  <c r="L881" i="1"/>
  <c r="O881" i="1" s="1"/>
  <c r="Q881" i="1" s="1"/>
  <c r="L888" i="1"/>
  <c r="O888" i="1" s="1"/>
  <c r="Q888" i="1" s="1"/>
  <c r="L889" i="1"/>
  <c r="O889" i="1" s="1"/>
  <c r="Q889" i="1" s="1"/>
  <c r="L894" i="1"/>
  <c r="O894" i="1" s="1"/>
  <c r="Q894" i="1" s="1"/>
  <c r="L895" i="1"/>
  <c r="O895" i="1" s="1"/>
  <c r="Q895" i="1" s="1"/>
  <c r="L896" i="1"/>
  <c r="O896" i="1" s="1"/>
  <c r="Q896" i="1" s="1"/>
  <c r="L897" i="1"/>
  <c r="O897" i="1" s="1"/>
  <c r="Q897" i="1" s="1"/>
  <c r="L904" i="1"/>
  <c r="O904" i="1" s="1"/>
  <c r="Q904" i="1" s="1"/>
  <c r="L905" i="1"/>
  <c r="O905" i="1" s="1"/>
  <c r="Q905" i="1" s="1"/>
  <c r="L910" i="1"/>
  <c r="O910" i="1" s="1"/>
  <c r="Q910" i="1" s="1"/>
  <c r="L911" i="1"/>
  <c r="O911" i="1" s="1"/>
  <c r="Q911" i="1" s="1"/>
  <c r="L912" i="1"/>
  <c r="O912" i="1" s="1"/>
  <c r="Q912" i="1" s="1"/>
  <c r="L913" i="1"/>
  <c r="O913" i="1" s="1"/>
  <c r="Q913" i="1" s="1"/>
  <c r="L920" i="1"/>
  <c r="O920" i="1" s="1"/>
  <c r="Q920" i="1" s="1"/>
  <c r="L921" i="1"/>
  <c r="O921" i="1" s="1"/>
  <c r="Q921" i="1" s="1"/>
  <c r="L926" i="1"/>
  <c r="O926" i="1" s="1"/>
  <c r="Q926" i="1" s="1"/>
  <c r="L927" i="1"/>
  <c r="O927" i="1" s="1"/>
  <c r="Q927" i="1" s="1"/>
  <c r="L928" i="1"/>
  <c r="O928" i="1" s="1"/>
  <c r="Q928" i="1" s="1"/>
  <c r="L929" i="1"/>
  <c r="L936" i="1"/>
  <c r="O936" i="1" s="1"/>
  <c r="Q936" i="1" s="1"/>
  <c r="L937" i="1"/>
  <c r="O937" i="1" s="1"/>
  <c r="Q937" i="1" s="1"/>
  <c r="L942" i="1"/>
  <c r="O942" i="1" s="1"/>
  <c r="Q942" i="1" s="1"/>
  <c r="L943" i="1"/>
  <c r="O943" i="1" s="1"/>
  <c r="Q943" i="1" s="1"/>
  <c r="L944" i="1"/>
  <c r="O944" i="1" s="1"/>
  <c r="Q944" i="1" s="1"/>
  <c r="L952" i="1"/>
  <c r="O952" i="1" s="1"/>
  <c r="Q952" i="1" s="1"/>
  <c r="L958" i="1"/>
  <c r="O958" i="1" s="1"/>
  <c r="Q958" i="1" s="1"/>
  <c r="L959" i="1"/>
  <c r="O959" i="1" s="1"/>
  <c r="Q959" i="1" s="1"/>
  <c r="L960" i="1"/>
  <c r="O960" i="1" s="1"/>
  <c r="Q960" i="1" s="1"/>
  <c r="L968" i="1"/>
  <c r="O968" i="1" s="1"/>
  <c r="Q968" i="1" s="1"/>
  <c r="L974" i="1"/>
  <c r="O974" i="1" s="1"/>
  <c r="Q974" i="1" s="1"/>
  <c r="L975" i="1"/>
  <c r="O975" i="1" s="1"/>
  <c r="Q975" i="1" s="1"/>
  <c r="L976" i="1"/>
  <c r="O976" i="1" s="1"/>
  <c r="Q976" i="1" s="1"/>
  <c r="L984" i="1"/>
  <c r="O984" i="1" s="1"/>
  <c r="Q984" i="1" s="1"/>
  <c r="L990" i="1"/>
  <c r="O990" i="1" s="1"/>
  <c r="Q990" i="1" s="1"/>
  <c r="L991" i="1"/>
  <c r="O991" i="1" s="1"/>
  <c r="Q991" i="1" s="1"/>
  <c r="L992" i="1"/>
  <c r="O992" i="1" s="1"/>
  <c r="Q992" i="1" s="1"/>
  <c r="L1000" i="1"/>
  <c r="O1000" i="1" s="1"/>
  <c r="Q1000" i="1" s="1"/>
  <c r="L1001" i="1"/>
  <c r="O1001" i="1" s="1"/>
  <c r="Q1001" i="1" s="1"/>
  <c r="K2" i="1"/>
  <c r="L2" i="1" s="1"/>
  <c r="O2" i="1" s="1"/>
  <c r="Q2" i="1" s="1"/>
  <c r="K1000" i="1"/>
  <c r="K1001" i="1"/>
  <c r="K20" i="1"/>
  <c r="L20" i="1" s="1"/>
  <c r="O20" i="1" s="1"/>
  <c r="Q20" i="1" s="1"/>
  <c r="K21" i="1"/>
  <c r="L21" i="1" s="1"/>
  <c r="O21" i="1" s="1"/>
  <c r="Q21" i="1" s="1"/>
  <c r="K22" i="1"/>
  <c r="L22" i="1" s="1"/>
  <c r="O22" i="1" s="1"/>
  <c r="Q22" i="1" s="1"/>
  <c r="K23" i="1"/>
  <c r="L23" i="1" s="1"/>
  <c r="O23" i="1" s="1"/>
  <c r="Q23" i="1" s="1"/>
  <c r="K24" i="1"/>
  <c r="K25" i="1"/>
  <c r="K26" i="1"/>
  <c r="K27" i="1"/>
  <c r="K28" i="1"/>
  <c r="L28" i="1" s="1"/>
  <c r="O28" i="1" s="1"/>
  <c r="Q28" i="1" s="1"/>
  <c r="K29" i="1"/>
  <c r="L29" i="1" s="1"/>
  <c r="O29" i="1" s="1"/>
  <c r="Q29" i="1" s="1"/>
  <c r="K30" i="1"/>
  <c r="L30" i="1" s="1"/>
  <c r="O30" i="1" s="1"/>
  <c r="Q30" i="1" s="1"/>
  <c r="K31" i="1"/>
  <c r="L31" i="1" s="1"/>
  <c r="O31" i="1" s="1"/>
  <c r="Q31" i="1" s="1"/>
  <c r="K32" i="1"/>
  <c r="L32" i="1" s="1"/>
  <c r="O32" i="1" s="1"/>
  <c r="Q32" i="1" s="1"/>
  <c r="K33" i="1"/>
  <c r="L33" i="1" s="1"/>
  <c r="O33" i="1" s="1"/>
  <c r="Q33" i="1" s="1"/>
  <c r="K34" i="1"/>
  <c r="L34" i="1" s="1"/>
  <c r="O34" i="1" s="1"/>
  <c r="Q34" i="1" s="1"/>
  <c r="K35" i="1"/>
  <c r="L35" i="1" s="1"/>
  <c r="O35" i="1" s="1"/>
  <c r="Q35" i="1" s="1"/>
  <c r="K36" i="1"/>
  <c r="L36" i="1" s="1"/>
  <c r="O36" i="1" s="1"/>
  <c r="Q36" i="1" s="1"/>
  <c r="K37" i="1"/>
  <c r="L37" i="1" s="1"/>
  <c r="K38" i="1"/>
  <c r="L38" i="1" s="1"/>
  <c r="O38" i="1" s="1"/>
  <c r="Q38" i="1" s="1"/>
  <c r="K39" i="1"/>
  <c r="L39" i="1" s="1"/>
  <c r="O39" i="1" s="1"/>
  <c r="Q39" i="1" s="1"/>
  <c r="K40" i="1"/>
  <c r="K41" i="1"/>
  <c r="K42" i="1"/>
  <c r="K43" i="1"/>
  <c r="L43" i="1" s="1"/>
  <c r="O43" i="1" s="1"/>
  <c r="Q43" i="1" s="1"/>
  <c r="K44" i="1"/>
  <c r="L44" i="1" s="1"/>
  <c r="O44" i="1" s="1"/>
  <c r="Q44" i="1" s="1"/>
  <c r="K45" i="1"/>
  <c r="L45" i="1" s="1"/>
  <c r="O45" i="1" s="1"/>
  <c r="Q45" i="1" s="1"/>
  <c r="K46" i="1"/>
  <c r="L46" i="1" s="1"/>
  <c r="K47" i="1"/>
  <c r="L47" i="1" s="1"/>
  <c r="K48" i="1"/>
  <c r="L48" i="1" s="1"/>
  <c r="O48" i="1" s="1"/>
  <c r="Q48" i="1" s="1"/>
  <c r="K49" i="1"/>
  <c r="K50" i="1"/>
  <c r="K51" i="1"/>
  <c r="K52" i="1"/>
  <c r="L52" i="1" s="1"/>
  <c r="O52" i="1" s="1"/>
  <c r="Q52" i="1" s="1"/>
  <c r="K53" i="1"/>
  <c r="L53" i="1" s="1"/>
  <c r="O53" i="1" s="1"/>
  <c r="Q53" i="1" s="1"/>
  <c r="K54" i="1"/>
  <c r="L54" i="1" s="1"/>
  <c r="O54" i="1" s="1"/>
  <c r="Q54" i="1" s="1"/>
  <c r="K55" i="1"/>
  <c r="L55" i="1" s="1"/>
  <c r="O55" i="1" s="1"/>
  <c r="Q55" i="1" s="1"/>
  <c r="K56" i="1"/>
  <c r="L56" i="1" s="1"/>
  <c r="O56" i="1" s="1"/>
  <c r="Q56" i="1" s="1"/>
  <c r="K57" i="1"/>
  <c r="L57" i="1" s="1"/>
  <c r="O57" i="1" s="1"/>
  <c r="Q57" i="1" s="1"/>
  <c r="K58" i="1"/>
  <c r="L58" i="1" s="1"/>
  <c r="O58" i="1" s="1"/>
  <c r="Q58" i="1" s="1"/>
  <c r="K59" i="1"/>
  <c r="L59" i="1" s="1"/>
  <c r="O59" i="1" s="1"/>
  <c r="Q59" i="1" s="1"/>
  <c r="K60" i="1"/>
  <c r="L60" i="1" s="1"/>
  <c r="O60" i="1" s="1"/>
  <c r="Q60" i="1" s="1"/>
  <c r="K61" i="1"/>
  <c r="L61" i="1" s="1"/>
  <c r="O61" i="1" s="1"/>
  <c r="Q61" i="1" s="1"/>
  <c r="K62" i="1"/>
  <c r="L62" i="1" s="1"/>
  <c r="O62" i="1" s="1"/>
  <c r="Q62" i="1" s="1"/>
  <c r="K63" i="1"/>
  <c r="L63" i="1" s="1"/>
  <c r="O63" i="1" s="1"/>
  <c r="Q63" i="1" s="1"/>
  <c r="K64" i="1"/>
  <c r="K65" i="1"/>
  <c r="L65" i="1" s="1"/>
  <c r="O65" i="1" s="1"/>
  <c r="Q65" i="1" s="1"/>
  <c r="K66" i="1"/>
  <c r="L66" i="1" s="1"/>
  <c r="O66" i="1" s="1"/>
  <c r="Q66" i="1" s="1"/>
  <c r="K67" i="1"/>
  <c r="K68" i="1"/>
  <c r="L68" i="1" s="1"/>
  <c r="O68" i="1" s="1"/>
  <c r="Q68" i="1" s="1"/>
  <c r="K69" i="1"/>
  <c r="L69" i="1" s="1"/>
  <c r="O69" i="1" s="1"/>
  <c r="Q69" i="1" s="1"/>
  <c r="K70" i="1"/>
  <c r="L70" i="1" s="1"/>
  <c r="O70" i="1" s="1"/>
  <c r="Q70" i="1" s="1"/>
  <c r="K71" i="1"/>
  <c r="L71" i="1" s="1"/>
  <c r="O71" i="1" s="1"/>
  <c r="Q71" i="1" s="1"/>
  <c r="K72" i="1"/>
  <c r="K73" i="1"/>
  <c r="K74" i="1"/>
  <c r="L74" i="1" s="1"/>
  <c r="K75" i="1"/>
  <c r="L75" i="1" s="1"/>
  <c r="K76" i="1"/>
  <c r="L76" i="1" s="1"/>
  <c r="O76" i="1" s="1"/>
  <c r="Q76" i="1" s="1"/>
  <c r="K77" i="1"/>
  <c r="L77" i="1" s="1"/>
  <c r="O77" i="1" s="1"/>
  <c r="Q77" i="1" s="1"/>
  <c r="K78" i="1"/>
  <c r="L78" i="1" s="1"/>
  <c r="O78" i="1" s="1"/>
  <c r="Q78" i="1" s="1"/>
  <c r="K79" i="1"/>
  <c r="L79" i="1" s="1"/>
  <c r="O79" i="1" s="1"/>
  <c r="Q79" i="1" s="1"/>
  <c r="K80" i="1"/>
  <c r="L80" i="1" s="1"/>
  <c r="O80" i="1" s="1"/>
  <c r="Q80" i="1" s="1"/>
  <c r="K81" i="1"/>
  <c r="L81" i="1" s="1"/>
  <c r="O81" i="1" s="1"/>
  <c r="Q81" i="1" s="1"/>
  <c r="K82" i="1"/>
  <c r="L82" i="1" s="1"/>
  <c r="O82" i="1" s="1"/>
  <c r="Q82" i="1" s="1"/>
  <c r="K83" i="1"/>
  <c r="L83" i="1" s="1"/>
  <c r="K84" i="1"/>
  <c r="L84" i="1" s="1"/>
  <c r="O84" i="1" s="1"/>
  <c r="Q84" i="1" s="1"/>
  <c r="K85" i="1"/>
  <c r="L85" i="1" s="1"/>
  <c r="O85" i="1" s="1"/>
  <c r="Q85" i="1" s="1"/>
  <c r="K86" i="1"/>
  <c r="L86" i="1" s="1"/>
  <c r="O86" i="1" s="1"/>
  <c r="Q86" i="1" s="1"/>
  <c r="K87" i="1"/>
  <c r="L87" i="1" s="1"/>
  <c r="O87" i="1" s="1"/>
  <c r="Q87" i="1" s="1"/>
  <c r="K88" i="1"/>
  <c r="K89" i="1"/>
  <c r="K90" i="1"/>
  <c r="K91" i="1"/>
  <c r="L91" i="1" s="1"/>
  <c r="O91" i="1" s="1"/>
  <c r="Q91" i="1" s="1"/>
  <c r="K92" i="1"/>
  <c r="L92" i="1" s="1"/>
  <c r="O92" i="1" s="1"/>
  <c r="Q92" i="1" s="1"/>
  <c r="K93" i="1"/>
  <c r="L93" i="1" s="1"/>
  <c r="O93" i="1" s="1"/>
  <c r="Q93" i="1" s="1"/>
  <c r="K94" i="1"/>
  <c r="L94" i="1" s="1"/>
  <c r="O94" i="1" s="1"/>
  <c r="Q94" i="1" s="1"/>
  <c r="K95" i="1"/>
  <c r="L95" i="1" s="1"/>
  <c r="O95" i="1" s="1"/>
  <c r="Q95" i="1" s="1"/>
  <c r="K96" i="1"/>
  <c r="L96" i="1" s="1"/>
  <c r="O96" i="1" s="1"/>
  <c r="Q96" i="1" s="1"/>
  <c r="K97" i="1"/>
  <c r="L97" i="1" s="1"/>
  <c r="O97" i="1" s="1"/>
  <c r="Q97" i="1" s="1"/>
  <c r="K98" i="1"/>
  <c r="K99" i="1"/>
  <c r="K100" i="1"/>
  <c r="L100" i="1" s="1"/>
  <c r="O100" i="1" s="1"/>
  <c r="Q100" i="1" s="1"/>
  <c r="K101" i="1"/>
  <c r="L101" i="1" s="1"/>
  <c r="O101" i="1" s="1"/>
  <c r="Q101" i="1" s="1"/>
  <c r="K102" i="1"/>
  <c r="L102" i="1" s="1"/>
  <c r="O102" i="1" s="1"/>
  <c r="Q102" i="1" s="1"/>
  <c r="K103" i="1"/>
  <c r="L103" i="1" s="1"/>
  <c r="O103" i="1" s="1"/>
  <c r="Q103" i="1" s="1"/>
  <c r="K104" i="1"/>
  <c r="K105" i="1"/>
  <c r="L105" i="1" s="1"/>
  <c r="O105" i="1" s="1"/>
  <c r="Q105" i="1" s="1"/>
  <c r="K106" i="1"/>
  <c r="L106" i="1" s="1"/>
  <c r="O106" i="1" s="1"/>
  <c r="Q106" i="1" s="1"/>
  <c r="K107" i="1"/>
  <c r="L107" i="1" s="1"/>
  <c r="O107" i="1" s="1"/>
  <c r="Q107" i="1" s="1"/>
  <c r="K108" i="1"/>
  <c r="L108" i="1" s="1"/>
  <c r="O108" i="1" s="1"/>
  <c r="Q108" i="1" s="1"/>
  <c r="K109" i="1"/>
  <c r="L109" i="1" s="1"/>
  <c r="O109" i="1" s="1"/>
  <c r="Q109" i="1" s="1"/>
  <c r="K110" i="1"/>
  <c r="L110" i="1" s="1"/>
  <c r="O110" i="1" s="1"/>
  <c r="Q110" i="1" s="1"/>
  <c r="K111" i="1"/>
  <c r="L111" i="1" s="1"/>
  <c r="O111" i="1" s="1"/>
  <c r="Q111" i="1" s="1"/>
  <c r="K112" i="1"/>
  <c r="L112" i="1" s="1"/>
  <c r="O112" i="1" s="1"/>
  <c r="Q112" i="1" s="1"/>
  <c r="K113" i="1"/>
  <c r="K114" i="1"/>
  <c r="K115" i="1"/>
  <c r="K116" i="1"/>
  <c r="L116" i="1" s="1"/>
  <c r="O116" i="1" s="1"/>
  <c r="Q116" i="1" s="1"/>
  <c r="K117" i="1"/>
  <c r="L117" i="1" s="1"/>
  <c r="O117" i="1" s="1"/>
  <c r="Q117" i="1" s="1"/>
  <c r="K118" i="1"/>
  <c r="L118" i="1" s="1"/>
  <c r="O118" i="1" s="1"/>
  <c r="Q118" i="1" s="1"/>
  <c r="K119" i="1"/>
  <c r="L119" i="1" s="1"/>
  <c r="O119" i="1" s="1"/>
  <c r="Q119" i="1" s="1"/>
  <c r="K120" i="1"/>
  <c r="L120" i="1" s="1"/>
  <c r="O120" i="1" s="1"/>
  <c r="Q120" i="1" s="1"/>
  <c r="K121" i="1"/>
  <c r="L121" i="1" s="1"/>
  <c r="O121" i="1" s="1"/>
  <c r="Q121" i="1" s="1"/>
  <c r="K122" i="1"/>
  <c r="K123" i="1"/>
  <c r="K124" i="1"/>
  <c r="L124" i="1" s="1"/>
  <c r="O124" i="1" s="1"/>
  <c r="Q124" i="1" s="1"/>
  <c r="K125" i="1"/>
  <c r="L125" i="1" s="1"/>
  <c r="O125" i="1" s="1"/>
  <c r="Q125" i="1" s="1"/>
  <c r="K126" i="1"/>
  <c r="L126" i="1" s="1"/>
  <c r="K127" i="1"/>
  <c r="L127" i="1" s="1"/>
  <c r="O127" i="1" s="1"/>
  <c r="Q127" i="1" s="1"/>
  <c r="K128" i="1"/>
  <c r="L128" i="1" s="1"/>
  <c r="O128" i="1" s="1"/>
  <c r="Q128" i="1" s="1"/>
  <c r="K129" i="1"/>
  <c r="L129" i="1" s="1"/>
  <c r="O129" i="1" s="1"/>
  <c r="Q129" i="1" s="1"/>
  <c r="K130" i="1"/>
  <c r="L130" i="1" s="1"/>
  <c r="O130" i="1" s="1"/>
  <c r="Q130" i="1" s="1"/>
  <c r="K131" i="1"/>
  <c r="L131" i="1" s="1"/>
  <c r="O131" i="1" s="1"/>
  <c r="Q131" i="1" s="1"/>
  <c r="K132" i="1"/>
  <c r="L132" i="1" s="1"/>
  <c r="O132" i="1" s="1"/>
  <c r="Q132" i="1" s="1"/>
  <c r="K133" i="1"/>
  <c r="L133" i="1" s="1"/>
  <c r="O133" i="1" s="1"/>
  <c r="Q133" i="1" s="1"/>
  <c r="K134" i="1"/>
  <c r="L134" i="1" s="1"/>
  <c r="O134" i="1" s="1"/>
  <c r="Q134" i="1" s="1"/>
  <c r="K135" i="1"/>
  <c r="L135" i="1" s="1"/>
  <c r="O135" i="1" s="1"/>
  <c r="Q135" i="1" s="1"/>
  <c r="K136" i="1"/>
  <c r="K137" i="1"/>
  <c r="K138" i="1"/>
  <c r="L138" i="1" s="1"/>
  <c r="O138" i="1" s="1"/>
  <c r="Q138" i="1" s="1"/>
  <c r="K139" i="1"/>
  <c r="L139" i="1" s="1"/>
  <c r="K140" i="1"/>
  <c r="K141" i="1"/>
  <c r="L141" i="1" s="1"/>
  <c r="O141" i="1" s="1"/>
  <c r="Q141" i="1" s="1"/>
  <c r="K142" i="1"/>
  <c r="L142" i="1" s="1"/>
  <c r="O142" i="1" s="1"/>
  <c r="Q142" i="1" s="1"/>
  <c r="K143" i="1"/>
  <c r="L143" i="1" s="1"/>
  <c r="O143" i="1" s="1"/>
  <c r="Q143" i="1" s="1"/>
  <c r="K144" i="1"/>
  <c r="L144" i="1" s="1"/>
  <c r="O144" i="1" s="1"/>
  <c r="Q144" i="1" s="1"/>
  <c r="K145" i="1"/>
  <c r="L145" i="1" s="1"/>
  <c r="O145" i="1" s="1"/>
  <c r="Q145" i="1" s="1"/>
  <c r="K146" i="1"/>
  <c r="K147" i="1"/>
  <c r="L147" i="1" s="1"/>
  <c r="K148" i="1"/>
  <c r="L148" i="1" s="1"/>
  <c r="O148" i="1" s="1"/>
  <c r="Q148" i="1" s="1"/>
  <c r="K149" i="1"/>
  <c r="K150" i="1"/>
  <c r="L150" i="1" s="1"/>
  <c r="O150" i="1" s="1"/>
  <c r="Q150" i="1" s="1"/>
  <c r="K151" i="1"/>
  <c r="L151" i="1" s="1"/>
  <c r="O151" i="1" s="1"/>
  <c r="Q151" i="1" s="1"/>
  <c r="K152" i="1"/>
  <c r="K153" i="1"/>
  <c r="L153" i="1" s="1"/>
  <c r="O153" i="1" s="1"/>
  <c r="Q153" i="1" s="1"/>
  <c r="K154" i="1"/>
  <c r="L154" i="1" s="1"/>
  <c r="O154" i="1" s="1"/>
  <c r="Q154" i="1" s="1"/>
  <c r="K155" i="1"/>
  <c r="L155" i="1" s="1"/>
  <c r="O155" i="1" s="1"/>
  <c r="Q155" i="1" s="1"/>
  <c r="K156" i="1"/>
  <c r="L156" i="1" s="1"/>
  <c r="O156" i="1" s="1"/>
  <c r="Q156" i="1" s="1"/>
  <c r="K157" i="1"/>
  <c r="L157" i="1" s="1"/>
  <c r="O157" i="1" s="1"/>
  <c r="Q157" i="1" s="1"/>
  <c r="K158" i="1"/>
  <c r="L158" i="1" s="1"/>
  <c r="O158" i="1" s="1"/>
  <c r="Q158" i="1" s="1"/>
  <c r="K159" i="1"/>
  <c r="L159" i="1" s="1"/>
  <c r="O159" i="1" s="1"/>
  <c r="Q159" i="1" s="1"/>
  <c r="K160" i="1"/>
  <c r="K161" i="1"/>
  <c r="K162" i="1"/>
  <c r="K163" i="1"/>
  <c r="K164" i="1"/>
  <c r="L164" i="1" s="1"/>
  <c r="O164" i="1" s="1"/>
  <c r="Q164" i="1" s="1"/>
  <c r="K165" i="1"/>
  <c r="L165" i="1" s="1"/>
  <c r="O165" i="1" s="1"/>
  <c r="Q165" i="1" s="1"/>
  <c r="K166" i="1"/>
  <c r="L166" i="1" s="1"/>
  <c r="O166" i="1" s="1"/>
  <c r="Q166" i="1" s="1"/>
  <c r="K167" i="1"/>
  <c r="L167" i="1" s="1"/>
  <c r="O167" i="1" s="1"/>
  <c r="Q167" i="1" s="1"/>
  <c r="K168" i="1"/>
  <c r="L168" i="1" s="1"/>
  <c r="O168" i="1" s="1"/>
  <c r="Q168" i="1" s="1"/>
  <c r="K169" i="1"/>
  <c r="L169" i="1" s="1"/>
  <c r="O169" i="1" s="1"/>
  <c r="Q169" i="1" s="1"/>
  <c r="K170" i="1"/>
  <c r="L170" i="1" s="1"/>
  <c r="O170" i="1" s="1"/>
  <c r="Q170" i="1" s="1"/>
  <c r="K171" i="1"/>
  <c r="K172" i="1"/>
  <c r="K173" i="1"/>
  <c r="L173" i="1" s="1"/>
  <c r="O173" i="1" s="1"/>
  <c r="Q173" i="1" s="1"/>
  <c r="K174" i="1"/>
  <c r="L174" i="1" s="1"/>
  <c r="O174" i="1" s="1"/>
  <c r="Q174" i="1" s="1"/>
  <c r="K175" i="1"/>
  <c r="L175" i="1" s="1"/>
  <c r="O175" i="1" s="1"/>
  <c r="Q175" i="1" s="1"/>
  <c r="K176" i="1"/>
  <c r="L176" i="1" s="1"/>
  <c r="O176" i="1" s="1"/>
  <c r="Q176" i="1" s="1"/>
  <c r="K177" i="1"/>
  <c r="K178" i="1"/>
  <c r="L178" i="1" s="1"/>
  <c r="O178" i="1" s="1"/>
  <c r="Q178" i="1" s="1"/>
  <c r="K179" i="1"/>
  <c r="L179" i="1" s="1"/>
  <c r="O179" i="1" s="1"/>
  <c r="Q179" i="1" s="1"/>
  <c r="K180" i="1"/>
  <c r="L180" i="1" s="1"/>
  <c r="O180" i="1" s="1"/>
  <c r="Q180" i="1" s="1"/>
  <c r="K181" i="1"/>
  <c r="L181" i="1" s="1"/>
  <c r="O181" i="1" s="1"/>
  <c r="Q181" i="1" s="1"/>
  <c r="K182" i="1"/>
  <c r="L182" i="1" s="1"/>
  <c r="O182" i="1" s="1"/>
  <c r="Q182" i="1" s="1"/>
  <c r="K183" i="1"/>
  <c r="L183" i="1" s="1"/>
  <c r="O183" i="1" s="1"/>
  <c r="Q183" i="1" s="1"/>
  <c r="K184" i="1"/>
  <c r="L184" i="1" s="1"/>
  <c r="O184" i="1" s="1"/>
  <c r="Q184" i="1" s="1"/>
  <c r="K185" i="1"/>
  <c r="L185" i="1" s="1"/>
  <c r="O185" i="1" s="1"/>
  <c r="Q185" i="1" s="1"/>
  <c r="K186" i="1"/>
  <c r="K187" i="1"/>
  <c r="K188" i="1"/>
  <c r="K189" i="1"/>
  <c r="L189" i="1" s="1"/>
  <c r="O189" i="1" s="1"/>
  <c r="Q189" i="1" s="1"/>
  <c r="K190" i="1"/>
  <c r="L190" i="1" s="1"/>
  <c r="O190" i="1" s="1"/>
  <c r="Q190" i="1" s="1"/>
  <c r="K191" i="1"/>
  <c r="L191" i="1" s="1"/>
  <c r="O191" i="1" s="1"/>
  <c r="Q191" i="1" s="1"/>
  <c r="K192" i="1"/>
  <c r="L192" i="1" s="1"/>
  <c r="O192" i="1" s="1"/>
  <c r="Q192" i="1" s="1"/>
  <c r="K193" i="1"/>
  <c r="L193" i="1" s="1"/>
  <c r="O193" i="1" s="1"/>
  <c r="Q193" i="1" s="1"/>
  <c r="K194" i="1"/>
  <c r="L194" i="1" s="1"/>
  <c r="K195" i="1"/>
  <c r="L195" i="1" s="1"/>
  <c r="O195" i="1" s="1"/>
  <c r="Q195" i="1" s="1"/>
  <c r="K196" i="1"/>
  <c r="L196" i="1" s="1"/>
  <c r="O196" i="1" s="1"/>
  <c r="Q196" i="1" s="1"/>
  <c r="K197" i="1"/>
  <c r="K198" i="1"/>
  <c r="L198" i="1" s="1"/>
  <c r="K199" i="1"/>
  <c r="K200" i="1"/>
  <c r="K201" i="1"/>
  <c r="L201" i="1" s="1"/>
  <c r="O201" i="1" s="1"/>
  <c r="Q201" i="1" s="1"/>
  <c r="K202" i="1"/>
  <c r="L202" i="1" s="1"/>
  <c r="O202" i="1" s="1"/>
  <c r="Q202" i="1" s="1"/>
  <c r="K203" i="1"/>
  <c r="L203" i="1" s="1"/>
  <c r="K204" i="1"/>
  <c r="L204" i="1" s="1"/>
  <c r="O204" i="1" s="1"/>
  <c r="Q204" i="1" s="1"/>
  <c r="K205" i="1"/>
  <c r="L205" i="1" s="1"/>
  <c r="O205" i="1" s="1"/>
  <c r="Q205" i="1" s="1"/>
  <c r="K206" i="1"/>
  <c r="L206" i="1" s="1"/>
  <c r="O206" i="1" s="1"/>
  <c r="Q206" i="1" s="1"/>
  <c r="K207" i="1"/>
  <c r="L207" i="1" s="1"/>
  <c r="O207" i="1" s="1"/>
  <c r="Q207" i="1" s="1"/>
  <c r="K208" i="1"/>
  <c r="K209" i="1"/>
  <c r="K210" i="1"/>
  <c r="K211" i="1"/>
  <c r="L211" i="1" s="1"/>
  <c r="K212" i="1"/>
  <c r="L212" i="1" s="1"/>
  <c r="O212" i="1" s="1"/>
  <c r="Q212" i="1" s="1"/>
  <c r="K213" i="1"/>
  <c r="L213" i="1" s="1"/>
  <c r="O213" i="1" s="1"/>
  <c r="Q213" i="1" s="1"/>
  <c r="K214" i="1"/>
  <c r="L214" i="1" s="1"/>
  <c r="O214" i="1" s="1"/>
  <c r="Q214" i="1" s="1"/>
  <c r="K215" i="1"/>
  <c r="L215" i="1" s="1"/>
  <c r="O215" i="1" s="1"/>
  <c r="Q215" i="1" s="1"/>
  <c r="K216" i="1"/>
  <c r="L216" i="1" s="1"/>
  <c r="O216" i="1" s="1"/>
  <c r="Q216" i="1" s="1"/>
  <c r="K217" i="1"/>
  <c r="L217" i="1" s="1"/>
  <c r="O217" i="1" s="1"/>
  <c r="Q217" i="1" s="1"/>
  <c r="K218" i="1"/>
  <c r="L218" i="1" s="1"/>
  <c r="O218" i="1" s="1"/>
  <c r="Q218" i="1" s="1"/>
  <c r="K219" i="1"/>
  <c r="K220" i="1"/>
  <c r="L220" i="1" s="1"/>
  <c r="O220" i="1" s="1"/>
  <c r="Q220" i="1" s="1"/>
  <c r="K221" i="1"/>
  <c r="L221" i="1" s="1"/>
  <c r="O221" i="1" s="1"/>
  <c r="Q221" i="1" s="1"/>
  <c r="K222" i="1"/>
  <c r="K223" i="1"/>
  <c r="K224" i="1"/>
  <c r="K225" i="1"/>
  <c r="L225" i="1" s="1"/>
  <c r="O225" i="1" s="1"/>
  <c r="Q225" i="1" s="1"/>
  <c r="K226" i="1"/>
  <c r="L226" i="1" s="1"/>
  <c r="O226" i="1" s="1"/>
  <c r="Q226" i="1" s="1"/>
  <c r="K227" i="1"/>
  <c r="L227" i="1" s="1"/>
  <c r="O227" i="1" s="1"/>
  <c r="Q227" i="1" s="1"/>
  <c r="K228" i="1"/>
  <c r="L228" i="1" s="1"/>
  <c r="O228" i="1" s="1"/>
  <c r="Q228" i="1" s="1"/>
  <c r="K229" i="1"/>
  <c r="L229" i="1" s="1"/>
  <c r="K230" i="1"/>
  <c r="L230" i="1" s="1"/>
  <c r="O230" i="1" s="1"/>
  <c r="Q230" i="1" s="1"/>
  <c r="K231" i="1"/>
  <c r="L231" i="1" s="1"/>
  <c r="O231" i="1" s="1"/>
  <c r="Q231" i="1" s="1"/>
  <c r="K232" i="1"/>
  <c r="K233" i="1"/>
  <c r="K234" i="1"/>
  <c r="K235" i="1"/>
  <c r="L235" i="1" s="1"/>
  <c r="O235" i="1" s="1"/>
  <c r="Q235" i="1" s="1"/>
  <c r="K236" i="1"/>
  <c r="L236" i="1" s="1"/>
  <c r="K237" i="1"/>
  <c r="L237" i="1" s="1"/>
  <c r="O237" i="1" s="1"/>
  <c r="Q237" i="1" s="1"/>
  <c r="K238" i="1"/>
  <c r="L238" i="1" s="1"/>
  <c r="O238" i="1" s="1"/>
  <c r="Q238" i="1" s="1"/>
  <c r="K239" i="1"/>
  <c r="L239" i="1" s="1"/>
  <c r="O239" i="1" s="1"/>
  <c r="Q239" i="1" s="1"/>
  <c r="K240" i="1"/>
  <c r="K241" i="1"/>
  <c r="K242" i="1"/>
  <c r="K243" i="1"/>
  <c r="K244" i="1"/>
  <c r="L244" i="1" s="1"/>
  <c r="O244" i="1" s="1"/>
  <c r="Q244" i="1" s="1"/>
  <c r="K245" i="1"/>
  <c r="L245" i="1" s="1"/>
  <c r="O245" i="1" s="1"/>
  <c r="Q245" i="1" s="1"/>
  <c r="K246" i="1"/>
  <c r="L246" i="1" s="1"/>
  <c r="O246" i="1" s="1"/>
  <c r="Q246" i="1" s="1"/>
  <c r="K247" i="1"/>
  <c r="L247" i="1" s="1"/>
  <c r="O247" i="1" s="1"/>
  <c r="Q247" i="1" s="1"/>
  <c r="K248" i="1"/>
  <c r="L248" i="1" s="1"/>
  <c r="O248" i="1" s="1"/>
  <c r="Q248" i="1" s="1"/>
  <c r="K249" i="1"/>
  <c r="L249" i="1" s="1"/>
  <c r="O249" i="1" s="1"/>
  <c r="Q249" i="1" s="1"/>
  <c r="K250" i="1"/>
  <c r="L250" i="1" s="1"/>
  <c r="O250" i="1" s="1"/>
  <c r="Q250" i="1" s="1"/>
  <c r="K251" i="1"/>
  <c r="K252" i="1"/>
  <c r="L252" i="1" s="1"/>
  <c r="O252" i="1" s="1"/>
  <c r="Q252" i="1" s="1"/>
  <c r="K253" i="1"/>
  <c r="L253" i="1" s="1"/>
  <c r="O253" i="1" s="1"/>
  <c r="Q253" i="1" s="1"/>
  <c r="K254" i="1"/>
  <c r="L254" i="1" s="1"/>
  <c r="O254" i="1" s="1"/>
  <c r="Q254" i="1" s="1"/>
  <c r="K255" i="1"/>
  <c r="L255" i="1" s="1"/>
  <c r="O255" i="1" s="1"/>
  <c r="Q255" i="1" s="1"/>
  <c r="K256" i="1"/>
  <c r="K257" i="1"/>
  <c r="L257" i="1" s="1"/>
  <c r="O257" i="1" s="1"/>
  <c r="Q257" i="1" s="1"/>
  <c r="K258" i="1"/>
  <c r="L258" i="1" s="1"/>
  <c r="O258" i="1" s="1"/>
  <c r="Q258" i="1" s="1"/>
  <c r="K259" i="1"/>
  <c r="L259" i="1" s="1"/>
  <c r="O259" i="1" s="1"/>
  <c r="Q259" i="1" s="1"/>
  <c r="K260" i="1"/>
  <c r="L260" i="1" s="1"/>
  <c r="O260" i="1" s="1"/>
  <c r="Q260" i="1" s="1"/>
  <c r="K261" i="1"/>
  <c r="L261" i="1" s="1"/>
  <c r="O261" i="1" s="1"/>
  <c r="Q261" i="1" s="1"/>
  <c r="K262" i="1"/>
  <c r="L262" i="1" s="1"/>
  <c r="O262" i="1" s="1"/>
  <c r="Q262" i="1" s="1"/>
  <c r="K263" i="1"/>
  <c r="K264" i="1"/>
  <c r="K265" i="1"/>
  <c r="K266" i="1"/>
  <c r="K267" i="1"/>
  <c r="L267" i="1" s="1"/>
  <c r="O267" i="1" s="1"/>
  <c r="Q267" i="1" s="1"/>
  <c r="K268" i="1"/>
  <c r="L268" i="1" s="1"/>
  <c r="O268" i="1" s="1"/>
  <c r="Q268" i="1" s="1"/>
  <c r="K269" i="1"/>
  <c r="L269" i="1" s="1"/>
  <c r="O269" i="1" s="1"/>
  <c r="Q269" i="1" s="1"/>
  <c r="K270" i="1"/>
  <c r="L270" i="1" s="1"/>
  <c r="O270" i="1" s="1"/>
  <c r="Q270" i="1" s="1"/>
  <c r="K271" i="1"/>
  <c r="L271" i="1" s="1"/>
  <c r="O271" i="1" s="1"/>
  <c r="Q271" i="1" s="1"/>
  <c r="K272" i="1"/>
  <c r="K273" i="1"/>
  <c r="K274" i="1"/>
  <c r="K275" i="1"/>
  <c r="K276" i="1"/>
  <c r="L276" i="1" s="1"/>
  <c r="O276" i="1" s="1"/>
  <c r="Q276" i="1" s="1"/>
  <c r="K277" i="1"/>
  <c r="L277" i="1" s="1"/>
  <c r="O277" i="1" s="1"/>
  <c r="Q277" i="1" s="1"/>
  <c r="K278" i="1"/>
  <c r="K279" i="1"/>
  <c r="L279" i="1" s="1"/>
  <c r="O279" i="1" s="1"/>
  <c r="Q279" i="1" s="1"/>
  <c r="K280" i="1"/>
  <c r="L280" i="1" s="1"/>
  <c r="O280" i="1" s="1"/>
  <c r="Q280" i="1" s="1"/>
  <c r="K281" i="1"/>
  <c r="L281" i="1" s="1"/>
  <c r="O281" i="1" s="1"/>
  <c r="Q281" i="1" s="1"/>
  <c r="K282" i="1"/>
  <c r="L282" i="1" s="1"/>
  <c r="O282" i="1" s="1"/>
  <c r="Q282" i="1" s="1"/>
  <c r="K283" i="1"/>
  <c r="K284" i="1"/>
  <c r="L284" i="1" s="1"/>
  <c r="O284" i="1" s="1"/>
  <c r="Q284" i="1" s="1"/>
  <c r="K285" i="1"/>
  <c r="K286" i="1"/>
  <c r="L286" i="1" s="1"/>
  <c r="O286" i="1" s="1"/>
  <c r="Q286" i="1" s="1"/>
  <c r="K287" i="1"/>
  <c r="L287" i="1" s="1"/>
  <c r="O287" i="1" s="1"/>
  <c r="Q287" i="1" s="1"/>
  <c r="K288" i="1"/>
  <c r="L288" i="1" s="1"/>
  <c r="O288" i="1" s="1"/>
  <c r="Q288" i="1" s="1"/>
  <c r="K289" i="1"/>
  <c r="L289" i="1" s="1"/>
  <c r="O289" i="1" s="1"/>
  <c r="Q289" i="1" s="1"/>
  <c r="K290" i="1"/>
  <c r="L290" i="1" s="1"/>
  <c r="O290" i="1" s="1"/>
  <c r="Q290" i="1" s="1"/>
  <c r="K291" i="1"/>
  <c r="L291" i="1" s="1"/>
  <c r="K292" i="1"/>
  <c r="L292" i="1" s="1"/>
  <c r="O292" i="1" s="1"/>
  <c r="Q292" i="1" s="1"/>
  <c r="K293" i="1"/>
  <c r="L293" i="1" s="1"/>
  <c r="O293" i="1" s="1"/>
  <c r="Q293" i="1" s="1"/>
  <c r="K294" i="1"/>
  <c r="L294" i="1" s="1"/>
  <c r="O294" i="1" s="1"/>
  <c r="Q294" i="1" s="1"/>
  <c r="K295" i="1"/>
  <c r="L295" i="1" s="1"/>
  <c r="O295" i="1" s="1"/>
  <c r="Q295" i="1" s="1"/>
  <c r="K296" i="1"/>
  <c r="K297" i="1"/>
  <c r="L297" i="1" s="1"/>
  <c r="O297" i="1" s="1"/>
  <c r="Q297" i="1" s="1"/>
  <c r="K298" i="1"/>
  <c r="L298" i="1" s="1"/>
  <c r="O298" i="1" s="1"/>
  <c r="Q298" i="1" s="1"/>
  <c r="K299" i="1"/>
  <c r="L299" i="1" s="1"/>
  <c r="O299" i="1" s="1"/>
  <c r="Q299" i="1" s="1"/>
  <c r="K300" i="1"/>
  <c r="L300" i="1" s="1"/>
  <c r="O300" i="1" s="1"/>
  <c r="Q300" i="1" s="1"/>
  <c r="K301" i="1"/>
  <c r="L301" i="1" s="1"/>
  <c r="O301" i="1" s="1"/>
  <c r="Q301" i="1" s="1"/>
  <c r="K302" i="1"/>
  <c r="K303" i="1"/>
  <c r="K304" i="1"/>
  <c r="K305" i="1"/>
  <c r="K306" i="1"/>
  <c r="L306" i="1" s="1"/>
  <c r="O306" i="1" s="1"/>
  <c r="Q306" i="1" s="1"/>
  <c r="K307" i="1"/>
  <c r="L307" i="1" s="1"/>
  <c r="O307" i="1" s="1"/>
  <c r="Q307" i="1" s="1"/>
  <c r="K308" i="1"/>
  <c r="L308" i="1" s="1"/>
  <c r="K309" i="1"/>
  <c r="L309" i="1" s="1"/>
  <c r="O309" i="1" s="1"/>
  <c r="Q309" i="1" s="1"/>
  <c r="K310" i="1"/>
  <c r="L310" i="1" s="1"/>
  <c r="O310" i="1" s="1"/>
  <c r="Q310" i="1" s="1"/>
  <c r="K311" i="1"/>
  <c r="L311" i="1" s="1"/>
  <c r="O311" i="1" s="1"/>
  <c r="Q311" i="1" s="1"/>
  <c r="K312" i="1"/>
  <c r="K313" i="1"/>
  <c r="K314" i="1"/>
  <c r="K315" i="1"/>
  <c r="L315" i="1" s="1"/>
  <c r="O315" i="1" s="1"/>
  <c r="Q315" i="1" s="1"/>
  <c r="K316" i="1"/>
  <c r="L316" i="1" s="1"/>
  <c r="O316" i="1" s="1"/>
  <c r="Q316" i="1" s="1"/>
  <c r="K317" i="1"/>
  <c r="L317" i="1" s="1"/>
  <c r="O317" i="1" s="1"/>
  <c r="Q317" i="1" s="1"/>
  <c r="K318" i="1"/>
  <c r="L318" i="1" s="1"/>
  <c r="O318" i="1" s="1"/>
  <c r="Q318" i="1" s="1"/>
  <c r="K319" i="1"/>
  <c r="L319" i="1" s="1"/>
  <c r="O319" i="1" s="1"/>
  <c r="Q319" i="1" s="1"/>
  <c r="K320" i="1"/>
  <c r="K321" i="1"/>
  <c r="K322" i="1"/>
  <c r="K323" i="1"/>
  <c r="K324" i="1"/>
  <c r="L324" i="1" s="1"/>
  <c r="O324" i="1" s="1"/>
  <c r="Q324" i="1" s="1"/>
  <c r="K325" i="1"/>
  <c r="L325" i="1" s="1"/>
  <c r="O325" i="1" s="1"/>
  <c r="Q325" i="1" s="1"/>
  <c r="K326" i="1"/>
  <c r="L326" i="1" s="1"/>
  <c r="O326" i="1" s="1"/>
  <c r="Q326" i="1" s="1"/>
  <c r="K327" i="1"/>
  <c r="L327" i="1" s="1"/>
  <c r="O327" i="1" s="1"/>
  <c r="Q327" i="1" s="1"/>
  <c r="K328" i="1"/>
  <c r="K329" i="1"/>
  <c r="K330" i="1"/>
  <c r="K331" i="1"/>
  <c r="K332" i="1"/>
  <c r="L332" i="1" s="1"/>
  <c r="O332" i="1" s="1"/>
  <c r="Q332" i="1" s="1"/>
  <c r="K333" i="1"/>
  <c r="K334" i="1"/>
  <c r="L334" i="1" s="1"/>
  <c r="O334" i="1" s="1"/>
  <c r="Q334" i="1" s="1"/>
  <c r="K335" i="1"/>
  <c r="L335" i="1" s="1"/>
  <c r="O335" i="1" s="1"/>
  <c r="Q335" i="1" s="1"/>
  <c r="K336" i="1"/>
  <c r="L336" i="1" s="1"/>
  <c r="O336" i="1" s="1"/>
  <c r="Q336" i="1" s="1"/>
  <c r="K337" i="1"/>
  <c r="L337" i="1" s="1"/>
  <c r="O337" i="1" s="1"/>
  <c r="Q337" i="1" s="1"/>
  <c r="K338" i="1"/>
  <c r="K339" i="1"/>
  <c r="K340" i="1"/>
  <c r="L340" i="1" s="1"/>
  <c r="K341" i="1"/>
  <c r="L341" i="1" s="1"/>
  <c r="O341" i="1" s="1"/>
  <c r="Q341" i="1" s="1"/>
  <c r="K342" i="1"/>
  <c r="L342" i="1" s="1"/>
  <c r="O342" i="1" s="1"/>
  <c r="Q342" i="1" s="1"/>
  <c r="K343" i="1"/>
  <c r="L343" i="1" s="1"/>
  <c r="O343" i="1" s="1"/>
  <c r="Q343" i="1" s="1"/>
  <c r="K344" i="1"/>
  <c r="L344" i="1" s="1"/>
  <c r="O344" i="1" s="1"/>
  <c r="Q344" i="1" s="1"/>
  <c r="K345" i="1"/>
  <c r="L345" i="1" s="1"/>
  <c r="O345" i="1" s="1"/>
  <c r="Q345" i="1" s="1"/>
  <c r="K346" i="1"/>
  <c r="L346" i="1" s="1"/>
  <c r="O346" i="1" s="1"/>
  <c r="Q346" i="1" s="1"/>
  <c r="K347" i="1"/>
  <c r="K348" i="1"/>
  <c r="L348" i="1" s="1"/>
  <c r="O348" i="1" s="1"/>
  <c r="Q348" i="1" s="1"/>
  <c r="K349" i="1"/>
  <c r="K350" i="1"/>
  <c r="K351" i="1"/>
  <c r="K352" i="1"/>
  <c r="L352" i="1" s="1"/>
  <c r="O352" i="1" s="1"/>
  <c r="Q352" i="1" s="1"/>
  <c r="K353" i="1"/>
  <c r="L353" i="1" s="1"/>
  <c r="O353" i="1" s="1"/>
  <c r="Q353" i="1" s="1"/>
  <c r="K354" i="1"/>
  <c r="L354" i="1" s="1"/>
  <c r="O354" i="1" s="1"/>
  <c r="Q354" i="1" s="1"/>
  <c r="K355" i="1"/>
  <c r="L355" i="1" s="1"/>
  <c r="O355" i="1" s="1"/>
  <c r="Q355" i="1" s="1"/>
  <c r="K356" i="1"/>
  <c r="L356" i="1" s="1"/>
  <c r="O356" i="1" s="1"/>
  <c r="Q356" i="1" s="1"/>
  <c r="K357" i="1"/>
  <c r="K358" i="1"/>
  <c r="L358" i="1" s="1"/>
  <c r="O358" i="1" s="1"/>
  <c r="Q358" i="1" s="1"/>
  <c r="K359" i="1"/>
  <c r="L359" i="1" s="1"/>
  <c r="O359" i="1" s="1"/>
  <c r="Q359" i="1" s="1"/>
  <c r="K360" i="1"/>
  <c r="K361" i="1"/>
  <c r="L361" i="1" s="1"/>
  <c r="O361" i="1" s="1"/>
  <c r="Q361" i="1" s="1"/>
  <c r="K362" i="1"/>
  <c r="L362" i="1" s="1"/>
  <c r="O362" i="1" s="1"/>
  <c r="Q362" i="1" s="1"/>
  <c r="K363" i="1"/>
  <c r="L363" i="1" s="1"/>
  <c r="K364" i="1"/>
  <c r="L364" i="1" s="1"/>
  <c r="O364" i="1" s="1"/>
  <c r="Q364" i="1" s="1"/>
  <c r="K365" i="1"/>
  <c r="L365" i="1" s="1"/>
  <c r="O365" i="1" s="1"/>
  <c r="Q365" i="1" s="1"/>
  <c r="K366" i="1"/>
  <c r="L366" i="1" s="1"/>
  <c r="O366" i="1" s="1"/>
  <c r="Q366" i="1" s="1"/>
  <c r="K367" i="1"/>
  <c r="L367" i="1" s="1"/>
  <c r="O367" i="1" s="1"/>
  <c r="Q367" i="1" s="1"/>
  <c r="K368" i="1"/>
  <c r="K369" i="1"/>
  <c r="K370" i="1"/>
  <c r="L370" i="1" s="1"/>
  <c r="O370" i="1" s="1"/>
  <c r="Q370" i="1" s="1"/>
  <c r="K371" i="1"/>
  <c r="L371" i="1" s="1"/>
  <c r="O371" i="1" s="1"/>
  <c r="Q371" i="1" s="1"/>
  <c r="K372" i="1"/>
  <c r="L372" i="1" s="1"/>
  <c r="O372" i="1" s="1"/>
  <c r="Q372" i="1" s="1"/>
  <c r="K373" i="1"/>
  <c r="L373" i="1" s="1"/>
  <c r="O373" i="1" s="1"/>
  <c r="Q373" i="1" s="1"/>
  <c r="K374" i="1"/>
  <c r="L374" i="1" s="1"/>
  <c r="O374" i="1" s="1"/>
  <c r="Q374" i="1" s="1"/>
  <c r="K375" i="1"/>
  <c r="K376" i="1"/>
  <c r="K377" i="1"/>
  <c r="K378" i="1"/>
  <c r="K379" i="1"/>
  <c r="L379" i="1" s="1"/>
  <c r="O379" i="1" s="1"/>
  <c r="Q379" i="1" s="1"/>
  <c r="K380" i="1"/>
  <c r="L380" i="1" s="1"/>
  <c r="O380" i="1" s="1"/>
  <c r="Q380" i="1" s="1"/>
  <c r="K381" i="1"/>
  <c r="L381" i="1" s="1"/>
  <c r="O381" i="1" s="1"/>
  <c r="Q381" i="1" s="1"/>
  <c r="K382" i="1"/>
  <c r="L382" i="1" s="1"/>
  <c r="O382" i="1" s="1"/>
  <c r="Q382" i="1" s="1"/>
  <c r="K383" i="1"/>
  <c r="L383" i="1" s="1"/>
  <c r="O383" i="1" s="1"/>
  <c r="Q383" i="1" s="1"/>
  <c r="K384" i="1"/>
  <c r="K385" i="1"/>
  <c r="K386" i="1"/>
  <c r="K387" i="1"/>
  <c r="K388" i="1"/>
  <c r="L388" i="1" s="1"/>
  <c r="O388" i="1" s="1"/>
  <c r="Q388" i="1" s="1"/>
  <c r="K389" i="1"/>
  <c r="L389" i="1" s="1"/>
  <c r="O389" i="1" s="1"/>
  <c r="Q389" i="1" s="1"/>
  <c r="K390" i="1"/>
  <c r="L390" i="1" s="1"/>
  <c r="O390" i="1" s="1"/>
  <c r="Q390" i="1" s="1"/>
  <c r="K391" i="1"/>
  <c r="L391" i="1" s="1"/>
  <c r="O391" i="1" s="1"/>
  <c r="Q391" i="1" s="1"/>
  <c r="K392" i="1"/>
  <c r="K393" i="1"/>
  <c r="K394" i="1"/>
  <c r="K395" i="1"/>
  <c r="K396" i="1"/>
  <c r="L396" i="1" s="1"/>
  <c r="O396" i="1" s="1"/>
  <c r="Q396" i="1" s="1"/>
  <c r="K397" i="1"/>
  <c r="L397" i="1" s="1"/>
  <c r="O397" i="1" s="1"/>
  <c r="Q397" i="1" s="1"/>
  <c r="K398" i="1"/>
  <c r="L398" i="1" s="1"/>
  <c r="O398" i="1" s="1"/>
  <c r="Q398" i="1" s="1"/>
  <c r="K399" i="1"/>
  <c r="L399" i="1" s="1"/>
  <c r="O399" i="1" s="1"/>
  <c r="Q399" i="1" s="1"/>
  <c r="K400" i="1"/>
  <c r="L400" i="1" s="1"/>
  <c r="O400" i="1" s="1"/>
  <c r="Q400" i="1" s="1"/>
  <c r="K401" i="1"/>
  <c r="L401" i="1" s="1"/>
  <c r="O401" i="1" s="1"/>
  <c r="Q401" i="1" s="1"/>
  <c r="K402" i="1"/>
  <c r="K403" i="1"/>
  <c r="K404" i="1"/>
  <c r="L404" i="1" s="1"/>
  <c r="O404" i="1" s="1"/>
  <c r="Q404" i="1" s="1"/>
  <c r="K405" i="1"/>
  <c r="K406" i="1"/>
  <c r="K407" i="1"/>
  <c r="L407" i="1" s="1"/>
  <c r="O407" i="1" s="1"/>
  <c r="Q407" i="1" s="1"/>
  <c r="K408" i="1"/>
  <c r="L408" i="1" s="1"/>
  <c r="O408" i="1" s="1"/>
  <c r="Q408" i="1" s="1"/>
  <c r="K409" i="1"/>
  <c r="L409" i="1" s="1"/>
  <c r="O409" i="1" s="1"/>
  <c r="Q409" i="1" s="1"/>
  <c r="K410" i="1"/>
  <c r="L410" i="1" s="1"/>
  <c r="O410" i="1" s="1"/>
  <c r="Q410" i="1" s="1"/>
  <c r="K411" i="1"/>
  <c r="K412" i="1"/>
  <c r="L412" i="1" s="1"/>
  <c r="O412" i="1" s="1"/>
  <c r="K413" i="1"/>
  <c r="L413" i="1" s="1"/>
  <c r="O413" i="1" s="1"/>
  <c r="Q413" i="1" s="1"/>
  <c r="K414" i="1"/>
  <c r="L414" i="1" s="1"/>
  <c r="O414" i="1" s="1"/>
  <c r="Q414" i="1" s="1"/>
  <c r="K415" i="1"/>
  <c r="L415" i="1" s="1"/>
  <c r="O415" i="1" s="1"/>
  <c r="Q415" i="1" s="1"/>
  <c r="K416" i="1"/>
  <c r="L416" i="1" s="1"/>
  <c r="O416" i="1" s="1"/>
  <c r="Q416" i="1" s="1"/>
  <c r="K417" i="1"/>
  <c r="L417" i="1" s="1"/>
  <c r="O417" i="1" s="1"/>
  <c r="Q417" i="1" s="1"/>
  <c r="K418" i="1"/>
  <c r="L418" i="1" s="1"/>
  <c r="O418" i="1" s="1"/>
  <c r="Q418" i="1" s="1"/>
  <c r="K419" i="1"/>
  <c r="L419" i="1" s="1"/>
  <c r="K420" i="1"/>
  <c r="L420" i="1" s="1"/>
  <c r="O420" i="1" s="1"/>
  <c r="Q420" i="1" s="1"/>
  <c r="K421" i="1"/>
  <c r="K422" i="1"/>
  <c r="K423" i="1"/>
  <c r="K424" i="1"/>
  <c r="K425" i="1"/>
  <c r="L425" i="1" s="1"/>
  <c r="O425" i="1" s="1"/>
  <c r="Q425" i="1" s="1"/>
  <c r="K426" i="1"/>
  <c r="L426" i="1" s="1"/>
  <c r="O426" i="1" s="1"/>
  <c r="Q426" i="1" s="1"/>
  <c r="K427" i="1"/>
  <c r="L427" i="1" s="1"/>
  <c r="O427" i="1" s="1"/>
  <c r="Q427" i="1" s="1"/>
  <c r="K428" i="1"/>
  <c r="L428" i="1" s="1"/>
  <c r="O428" i="1" s="1"/>
  <c r="Q428" i="1" s="1"/>
  <c r="K429" i="1"/>
  <c r="L429" i="1" s="1"/>
  <c r="O429" i="1" s="1"/>
  <c r="Q429" i="1" s="1"/>
  <c r="K430" i="1"/>
  <c r="L430" i="1" s="1"/>
  <c r="O430" i="1" s="1"/>
  <c r="Q430" i="1" s="1"/>
  <c r="K431" i="1"/>
  <c r="L431" i="1" s="1"/>
  <c r="O431" i="1" s="1"/>
  <c r="Q431" i="1" s="1"/>
  <c r="K432" i="1"/>
  <c r="K433" i="1"/>
  <c r="K434" i="1"/>
  <c r="L434" i="1" s="1"/>
  <c r="O434" i="1" s="1"/>
  <c r="Q434" i="1" s="1"/>
  <c r="K435" i="1"/>
  <c r="L435" i="1" s="1"/>
  <c r="O435" i="1" s="1"/>
  <c r="Q435" i="1" s="1"/>
  <c r="K436" i="1"/>
  <c r="L436" i="1" s="1"/>
  <c r="K437" i="1"/>
  <c r="L437" i="1" s="1"/>
  <c r="O437" i="1" s="1"/>
  <c r="Q437" i="1" s="1"/>
  <c r="K438" i="1"/>
  <c r="L438" i="1" s="1"/>
  <c r="O438" i="1" s="1"/>
  <c r="Q438" i="1" s="1"/>
  <c r="K439" i="1"/>
  <c r="L439" i="1" s="1"/>
  <c r="O439" i="1" s="1"/>
  <c r="Q439" i="1" s="1"/>
  <c r="K440" i="1"/>
  <c r="K441" i="1"/>
  <c r="K442" i="1"/>
  <c r="K443" i="1"/>
  <c r="L443" i="1" s="1"/>
  <c r="K444" i="1"/>
  <c r="L444" i="1" s="1"/>
  <c r="O444" i="1" s="1"/>
  <c r="Q444" i="1" s="1"/>
  <c r="K445" i="1"/>
  <c r="L445" i="1" s="1"/>
  <c r="O445" i="1" s="1"/>
  <c r="Q445" i="1" s="1"/>
  <c r="K446" i="1"/>
  <c r="L446" i="1" s="1"/>
  <c r="O446" i="1" s="1"/>
  <c r="Q446" i="1" s="1"/>
  <c r="K447" i="1"/>
  <c r="L447" i="1" s="1"/>
  <c r="O447" i="1" s="1"/>
  <c r="Q447" i="1" s="1"/>
  <c r="K448" i="1"/>
  <c r="K449" i="1"/>
  <c r="K450" i="1"/>
  <c r="K451" i="1"/>
  <c r="K452" i="1"/>
  <c r="L452" i="1" s="1"/>
  <c r="O452" i="1" s="1"/>
  <c r="Q452" i="1" s="1"/>
  <c r="K453" i="1"/>
  <c r="L453" i="1" s="1"/>
  <c r="O453" i="1" s="1"/>
  <c r="Q453" i="1" s="1"/>
  <c r="K454" i="1"/>
  <c r="L454" i="1" s="1"/>
  <c r="O454" i="1" s="1"/>
  <c r="Q454" i="1" s="1"/>
  <c r="K455" i="1"/>
  <c r="L455" i="1" s="1"/>
  <c r="O455" i="1" s="1"/>
  <c r="Q455" i="1" s="1"/>
  <c r="K456" i="1"/>
  <c r="K457" i="1"/>
  <c r="K458" i="1"/>
  <c r="K459" i="1"/>
  <c r="K460" i="1"/>
  <c r="L460" i="1" s="1"/>
  <c r="O460" i="1" s="1"/>
  <c r="Q460" i="1" s="1"/>
  <c r="K461" i="1"/>
  <c r="L461" i="1" s="1"/>
  <c r="O461" i="1" s="1"/>
  <c r="Q461" i="1" s="1"/>
  <c r="K462" i="1"/>
  <c r="L462" i="1" s="1"/>
  <c r="O462" i="1" s="1"/>
  <c r="Q462" i="1" s="1"/>
  <c r="K463" i="1"/>
  <c r="L463" i="1" s="1"/>
  <c r="O463" i="1" s="1"/>
  <c r="Q463" i="1" s="1"/>
  <c r="K464" i="1"/>
  <c r="L464" i="1" s="1"/>
  <c r="O464" i="1" s="1"/>
  <c r="Q464" i="1" s="1"/>
  <c r="K465" i="1"/>
  <c r="L465" i="1" s="1"/>
  <c r="O465" i="1" s="1"/>
  <c r="Q465" i="1" s="1"/>
  <c r="K466" i="1"/>
  <c r="K467" i="1"/>
  <c r="K468" i="1"/>
  <c r="L468" i="1" s="1"/>
  <c r="O468" i="1" s="1"/>
  <c r="Q468" i="1" s="1"/>
  <c r="K469" i="1"/>
  <c r="L469" i="1" s="1"/>
  <c r="O469" i="1" s="1"/>
  <c r="Q469" i="1" s="1"/>
  <c r="K470" i="1"/>
  <c r="K471" i="1"/>
  <c r="L471" i="1" s="1"/>
  <c r="O471" i="1" s="1"/>
  <c r="Q471" i="1" s="1"/>
  <c r="K472" i="1"/>
  <c r="L472" i="1" s="1"/>
  <c r="O472" i="1" s="1"/>
  <c r="Q472" i="1" s="1"/>
  <c r="K473" i="1"/>
  <c r="L473" i="1" s="1"/>
  <c r="O473" i="1" s="1"/>
  <c r="Q473" i="1" s="1"/>
  <c r="K474" i="1"/>
  <c r="L474" i="1" s="1"/>
  <c r="O474" i="1" s="1"/>
  <c r="Q474" i="1" s="1"/>
  <c r="K475" i="1"/>
  <c r="K476" i="1"/>
  <c r="L476" i="1" s="1"/>
  <c r="O476" i="1" s="1"/>
  <c r="Q476" i="1" s="1"/>
  <c r="K477" i="1"/>
  <c r="K478" i="1"/>
  <c r="K479" i="1"/>
  <c r="L479" i="1" s="1"/>
  <c r="O479" i="1" s="1"/>
  <c r="Q479" i="1" s="1"/>
  <c r="K480" i="1"/>
  <c r="L480" i="1" s="1"/>
  <c r="O480" i="1" s="1"/>
  <c r="Q480" i="1" s="1"/>
  <c r="K481" i="1"/>
  <c r="L481" i="1" s="1"/>
  <c r="O481" i="1" s="1"/>
  <c r="Q481" i="1" s="1"/>
  <c r="K482" i="1"/>
  <c r="L482" i="1" s="1"/>
  <c r="O482" i="1" s="1"/>
  <c r="Q482" i="1" s="1"/>
  <c r="K483" i="1"/>
  <c r="L483" i="1" s="1"/>
  <c r="O483" i="1" s="1"/>
  <c r="Q483" i="1" s="1"/>
  <c r="K484" i="1"/>
  <c r="L484" i="1" s="1"/>
  <c r="O484" i="1" s="1"/>
  <c r="Q484" i="1" s="1"/>
  <c r="K485" i="1"/>
  <c r="L485" i="1" s="1"/>
  <c r="O485" i="1" s="1"/>
  <c r="Q485" i="1" s="1"/>
  <c r="K486" i="1"/>
  <c r="L486" i="1" s="1"/>
  <c r="O486" i="1" s="1"/>
  <c r="Q486" i="1" s="1"/>
  <c r="K487" i="1"/>
  <c r="L487" i="1" s="1"/>
  <c r="O487" i="1" s="1"/>
  <c r="Q487" i="1" s="1"/>
  <c r="K488" i="1"/>
  <c r="K489" i="1"/>
  <c r="L489" i="1" s="1"/>
  <c r="O489" i="1" s="1"/>
  <c r="Q489" i="1" s="1"/>
  <c r="K490" i="1"/>
  <c r="L490" i="1" s="1"/>
  <c r="O490" i="1" s="1"/>
  <c r="Q490" i="1" s="1"/>
  <c r="K491" i="1"/>
  <c r="L491" i="1" s="1"/>
  <c r="K492" i="1"/>
  <c r="L492" i="1" s="1"/>
  <c r="O492" i="1" s="1"/>
  <c r="Q492" i="1" s="1"/>
  <c r="K493" i="1"/>
  <c r="L493" i="1" s="1"/>
  <c r="O493" i="1" s="1"/>
  <c r="Q493" i="1" s="1"/>
  <c r="K494" i="1"/>
  <c r="K495" i="1"/>
  <c r="K496" i="1"/>
  <c r="K497" i="1"/>
  <c r="K498" i="1"/>
  <c r="L498" i="1" s="1"/>
  <c r="O498" i="1" s="1"/>
  <c r="Q498" i="1" s="1"/>
  <c r="K499" i="1"/>
  <c r="L499" i="1" s="1"/>
  <c r="O499" i="1" s="1"/>
  <c r="Q499" i="1" s="1"/>
  <c r="K500" i="1"/>
  <c r="L500" i="1" s="1"/>
  <c r="O500" i="1" s="1"/>
  <c r="Q500" i="1" s="1"/>
  <c r="K501" i="1"/>
  <c r="L501" i="1" s="1"/>
  <c r="O501" i="1" s="1"/>
  <c r="Q501" i="1" s="1"/>
  <c r="K502" i="1"/>
  <c r="L502" i="1" s="1"/>
  <c r="O502" i="1" s="1"/>
  <c r="Q502" i="1" s="1"/>
  <c r="K503" i="1"/>
  <c r="L503" i="1" s="1"/>
  <c r="O503" i="1" s="1"/>
  <c r="Q503" i="1" s="1"/>
  <c r="K504" i="1"/>
  <c r="K505" i="1"/>
  <c r="K506" i="1"/>
  <c r="K507" i="1"/>
  <c r="L507" i="1" s="1"/>
  <c r="O507" i="1" s="1"/>
  <c r="Q507" i="1" s="1"/>
  <c r="K508" i="1"/>
  <c r="L508" i="1" s="1"/>
  <c r="O508" i="1" s="1"/>
  <c r="Q508" i="1" s="1"/>
  <c r="K509" i="1"/>
  <c r="L509" i="1" s="1"/>
  <c r="O509" i="1" s="1"/>
  <c r="Q509" i="1" s="1"/>
  <c r="K510" i="1"/>
  <c r="L510" i="1" s="1"/>
  <c r="O510" i="1" s="1"/>
  <c r="Q510" i="1" s="1"/>
  <c r="K511" i="1"/>
  <c r="L511" i="1" s="1"/>
  <c r="O511" i="1" s="1"/>
  <c r="Q511" i="1" s="1"/>
  <c r="K512" i="1"/>
  <c r="K513" i="1"/>
  <c r="K514" i="1"/>
  <c r="K515" i="1"/>
  <c r="K516" i="1"/>
  <c r="L516" i="1" s="1"/>
  <c r="O516" i="1" s="1"/>
  <c r="Q516" i="1" s="1"/>
  <c r="K517" i="1"/>
  <c r="L517" i="1" s="1"/>
  <c r="O517" i="1" s="1"/>
  <c r="Q517" i="1" s="1"/>
  <c r="K518" i="1"/>
  <c r="L518" i="1" s="1"/>
  <c r="O518" i="1" s="1"/>
  <c r="Q518" i="1" s="1"/>
  <c r="K519" i="1"/>
  <c r="L519" i="1" s="1"/>
  <c r="O519" i="1" s="1"/>
  <c r="Q519" i="1" s="1"/>
  <c r="K520" i="1"/>
  <c r="K521" i="1"/>
  <c r="K522" i="1"/>
  <c r="K523" i="1"/>
  <c r="K524" i="1"/>
  <c r="L524" i="1" s="1"/>
  <c r="O524" i="1" s="1"/>
  <c r="Q524" i="1" s="1"/>
  <c r="K525" i="1"/>
  <c r="K526" i="1"/>
  <c r="L526" i="1" s="1"/>
  <c r="O526" i="1" s="1"/>
  <c r="Q526" i="1" s="1"/>
  <c r="K527" i="1"/>
  <c r="L527" i="1" s="1"/>
  <c r="O527" i="1" s="1"/>
  <c r="Q527" i="1" s="1"/>
  <c r="K528" i="1"/>
  <c r="L528" i="1" s="1"/>
  <c r="O528" i="1" s="1"/>
  <c r="Q528" i="1" s="1"/>
  <c r="K529" i="1"/>
  <c r="L529" i="1" s="1"/>
  <c r="O529" i="1" s="1"/>
  <c r="Q529" i="1" s="1"/>
  <c r="K530" i="1"/>
  <c r="K531" i="1"/>
  <c r="K532" i="1"/>
  <c r="L532" i="1" s="1"/>
  <c r="O532" i="1" s="1"/>
  <c r="Q532" i="1" s="1"/>
  <c r="K533" i="1"/>
  <c r="L533" i="1" s="1"/>
  <c r="O533" i="1" s="1"/>
  <c r="Q533" i="1" s="1"/>
  <c r="K534" i="1"/>
  <c r="L534" i="1" s="1"/>
  <c r="O534" i="1" s="1"/>
  <c r="Q534" i="1" s="1"/>
  <c r="K535" i="1"/>
  <c r="L535" i="1" s="1"/>
  <c r="O535" i="1" s="1"/>
  <c r="Q535" i="1" s="1"/>
  <c r="K536" i="1"/>
  <c r="L536" i="1" s="1"/>
  <c r="O536" i="1" s="1"/>
  <c r="Q536" i="1" s="1"/>
  <c r="K537" i="1"/>
  <c r="L537" i="1" s="1"/>
  <c r="O537" i="1" s="1"/>
  <c r="Q537" i="1" s="1"/>
  <c r="K538" i="1"/>
  <c r="L538" i="1" s="1"/>
  <c r="O538" i="1" s="1"/>
  <c r="Q538" i="1" s="1"/>
  <c r="K539" i="1"/>
  <c r="K540" i="1"/>
  <c r="L540" i="1" s="1"/>
  <c r="O540" i="1" s="1"/>
  <c r="Q540" i="1" s="1"/>
  <c r="K541" i="1"/>
  <c r="L541" i="1" s="1"/>
  <c r="O541" i="1" s="1"/>
  <c r="Q541" i="1" s="1"/>
  <c r="K542" i="1"/>
  <c r="K543" i="1"/>
  <c r="K544" i="1"/>
  <c r="L544" i="1" s="1"/>
  <c r="O544" i="1" s="1"/>
  <c r="Q544" i="1" s="1"/>
  <c r="K545" i="1"/>
  <c r="L545" i="1" s="1"/>
  <c r="O545" i="1" s="1"/>
  <c r="Q545" i="1" s="1"/>
  <c r="K546" i="1"/>
  <c r="L546" i="1" s="1"/>
  <c r="O546" i="1" s="1"/>
  <c r="Q546" i="1" s="1"/>
  <c r="K547" i="1"/>
  <c r="L547" i="1" s="1"/>
  <c r="K548" i="1"/>
  <c r="L548" i="1" s="1"/>
  <c r="O548" i="1" s="1"/>
  <c r="Q548" i="1" s="1"/>
  <c r="K549" i="1"/>
  <c r="K550" i="1"/>
  <c r="K551" i="1"/>
  <c r="L551" i="1" s="1"/>
  <c r="O551" i="1" s="1"/>
  <c r="Q551" i="1" s="1"/>
  <c r="K552" i="1"/>
  <c r="K553" i="1"/>
  <c r="L553" i="1" s="1"/>
  <c r="O553" i="1" s="1"/>
  <c r="Q553" i="1" s="1"/>
  <c r="K554" i="1"/>
  <c r="L554" i="1" s="1"/>
  <c r="O554" i="1" s="1"/>
  <c r="Q554" i="1" s="1"/>
  <c r="K555" i="1"/>
  <c r="L555" i="1" s="1"/>
  <c r="O555" i="1" s="1"/>
  <c r="Q555" i="1" s="1"/>
  <c r="K556" i="1"/>
  <c r="L556" i="1" s="1"/>
  <c r="O556" i="1" s="1"/>
  <c r="Q556" i="1" s="1"/>
  <c r="K557" i="1"/>
  <c r="L557" i="1" s="1"/>
  <c r="O557" i="1" s="1"/>
  <c r="Q557" i="1" s="1"/>
  <c r="K558" i="1"/>
  <c r="L558" i="1" s="1"/>
  <c r="O558" i="1" s="1"/>
  <c r="Q558" i="1" s="1"/>
  <c r="K559" i="1"/>
  <c r="L559" i="1" s="1"/>
  <c r="O559" i="1" s="1"/>
  <c r="Q559" i="1" s="1"/>
  <c r="K560" i="1"/>
  <c r="K561" i="1"/>
  <c r="K562" i="1"/>
  <c r="L562" i="1" s="1"/>
  <c r="O562" i="1" s="1"/>
  <c r="Q562" i="1" s="1"/>
  <c r="K563" i="1"/>
  <c r="L563" i="1" s="1"/>
  <c r="O563" i="1" s="1"/>
  <c r="Q563" i="1" s="1"/>
  <c r="K564" i="1"/>
  <c r="L564" i="1" s="1"/>
  <c r="K565" i="1"/>
  <c r="L565" i="1" s="1"/>
  <c r="O565" i="1" s="1"/>
  <c r="Q565" i="1" s="1"/>
  <c r="K566" i="1"/>
  <c r="L566" i="1" s="1"/>
  <c r="O566" i="1" s="1"/>
  <c r="Q566" i="1" s="1"/>
  <c r="K567" i="1"/>
  <c r="K568" i="1"/>
  <c r="K569" i="1"/>
  <c r="K570" i="1"/>
  <c r="K571" i="1"/>
  <c r="L571" i="1" s="1"/>
  <c r="K572" i="1"/>
  <c r="L572" i="1" s="1"/>
  <c r="O572" i="1" s="1"/>
  <c r="Q572" i="1" s="1"/>
  <c r="K573" i="1"/>
  <c r="L573" i="1" s="1"/>
  <c r="O573" i="1" s="1"/>
  <c r="Q573" i="1" s="1"/>
  <c r="K574" i="1"/>
  <c r="L574" i="1" s="1"/>
  <c r="O574" i="1" s="1"/>
  <c r="Q574" i="1" s="1"/>
  <c r="K575" i="1"/>
  <c r="L575" i="1" s="1"/>
  <c r="O575" i="1" s="1"/>
  <c r="Q575" i="1" s="1"/>
  <c r="K576" i="1"/>
  <c r="K577" i="1"/>
  <c r="K578" i="1"/>
  <c r="K579" i="1"/>
  <c r="K580" i="1"/>
  <c r="L580" i="1" s="1"/>
  <c r="O580" i="1" s="1"/>
  <c r="Q580" i="1" s="1"/>
  <c r="K581" i="1"/>
  <c r="L581" i="1" s="1"/>
  <c r="O581" i="1" s="1"/>
  <c r="Q581" i="1" s="1"/>
  <c r="K582" i="1"/>
  <c r="L582" i="1" s="1"/>
  <c r="O582" i="1" s="1"/>
  <c r="Q582" i="1" s="1"/>
  <c r="K583" i="1"/>
  <c r="L583" i="1" s="1"/>
  <c r="O583" i="1" s="1"/>
  <c r="Q583" i="1" s="1"/>
  <c r="K584" i="1"/>
  <c r="K585" i="1"/>
  <c r="K586" i="1"/>
  <c r="K587" i="1"/>
  <c r="K588" i="1"/>
  <c r="L588" i="1" s="1"/>
  <c r="O588" i="1" s="1"/>
  <c r="Q588" i="1" s="1"/>
  <c r="K589" i="1"/>
  <c r="L589" i="1" s="1"/>
  <c r="O589" i="1" s="1"/>
  <c r="Q589" i="1" s="1"/>
  <c r="K590" i="1"/>
  <c r="L590" i="1" s="1"/>
  <c r="O590" i="1" s="1"/>
  <c r="Q590" i="1" s="1"/>
  <c r="K591" i="1"/>
  <c r="L591" i="1" s="1"/>
  <c r="O591" i="1" s="1"/>
  <c r="Q591" i="1" s="1"/>
  <c r="K592" i="1"/>
  <c r="L592" i="1" s="1"/>
  <c r="O592" i="1" s="1"/>
  <c r="Q592" i="1" s="1"/>
  <c r="K593" i="1"/>
  <c r="L593" i="1" s="1"/>
  <c r="O593" i="1" s="1"/>
  <c r="Q593" i="1" s="1"/>
  <c r="K594" i="1"/>
  <c r="K595" i="1"/>
  <c r="K596" i="1"/>
  <c r="L596" i="1" s="1"/>
  <c r="O596" i="1" s="1"/>
  <c r="Q596" i="1" s="1"/>
  <c r="K597" i="1"/>
  <c r="K598" i="1"/>
  <c r="K599" i="1"/>
  <c r="L599" i="1" s="1"/>
  <c r="O599" i="1" s="1"/>
  <c r="Q599" i="1" s="1"/>
  <c r="K600" i="1"/>
  <c r="L600" i="1" s="1"/>
  <c r="O600" i="1" s="1"/>
  <c r="Q600" i="1" s="1"/>
  <c r="K601" i="1"/>
  <c r="L601" i="1" s="1"/>
  <c r="O601" i="1" s="1"/>
  <c r="Q601" i="1" s="1"/>
  <c r="K602" i="1"/>
  <c r="L602" i="1" s="1"/>
  <c r="O602" i="1" s="1"/>
  <c r="Q602" i="1" s="1"/>
  <c r="K603" i="1"/>
  <c r="K604" i="1"/>
  <c r="L604" i="1" s="1"/>
  <c r="O604" i="1" s="1"/>
  <c r="Q604" i="1" s="1"/>
  <c r="K605" i="1"/>
  <c r="L605" i="1" s="1"/>
  <c r="O605" i="1" s="1"/>
  <c r="Q605" i="1" s="1"/>
  <c r="K606" i="1"/>
  <c r="L606" i="1" s="1"/>
  <c r="O606" i="1" s="1"/>
  <c r="Q606" i="1" s="1"/>
  <c r="K607" i="1"/>
  <c r="L607" i="1" s="1"/>
  <c r="O607" i="1" s="1"/>
  <c r="Q607" i="1" s="1"/>
  <c r="K608" i="1"/>
  <c r="L608" i="1" s="1"/>
  <c r="O608" i="1" s="1"/>
  <c r="Q608" i="1" s="1"/>
  <c r="K609" i="1"/>
  <c r="L609" i="1" s="1"/>
  <c r="O609" i="1" s="1"/>
  <c r="Q609" i="1" s="1"/>
  <c r="K610" i="1"/>
  <c r="L610" i="1" s="1"/>
  <c r="O610" i="1" s="1"/>
  <c r="Q610" i="1" s="1"/>
  <c r="K611" i="1"/>
  <c r="L611" i="1" s="1"/>
  <c r="O611" i="1" s="1"/>
  <c r="Q611" i="1" s="1"/>
  <c r="K612" i="1"/>
  <c r="L612" i="1" s="1"/>
  <c r="O612" i="1" s="1"/>
  <c r="K613" i="1"/>
  <c r="L613" i="1" s="1"/>
  <c r="O613" i="1" s="1"/>
  <c r="Q613" i="1" s="1"/>
  <c r="K614" i="1"/>
  <c r="K615" i="1"/>
  <c r="K616" i="1"/>
  <c r="K617" i="1"/>
  <c r="L617" i="1" s="1"/>
  <c r="O617" i="1" s="1"/>
  <c r="Q617" i="1" s="1"/>
  <c r="K618" i="1"/>
  <c r="L618" i="1" s="1"/>
  <c r="O618" i="1" s="1"/>
  <c r="Q618" i="1" s="1"/>
  <c r="K619" i="1"/>
  <c r="L619" i="1" s="1"/>
  <c r="O619" i="1" s="1"/>
  <c r="Q619" i="1" s="1"/>
  <c r="K620" i="1"/>
  <c r="L620" i="1" s="1"/>
  <c r="O620" i="1" s="1"/>
  <c r="Q620" i="1" s="1"/>
  <c r="K621" i="1"/>
  <c r="L621" i="1" s="1"/>
  <c r="O621" i="1" s="1"/>
  <c r="Q621" i="1" s="1"/>
  <c r="K622" i="1"/>
  <c r="K623" i="1"/>
  <c r="L623" i="1" s="1"/>
  <c r="O623" i="1" s="1"/>
  <c r="Q623" i="1" s="1"/>
  <c r="K624" i="1"/>
  <c r="K625" i="1"/>
  <c r="K626" i="1"/>
  <c r="L626" i="1" s="1"/>
  <c r="O626" i="1" s="1"/>
  <c r="Q626" i="1" s="1"/>
  <c r="K627" i="1"/>
  <c r="L627" i="1" s="1"/>
  <c r="O627" i="1" s="1"/>
  <c r="Q627" i="1" s="1"/>
  <c r="K628" i="1"/>
  <c r="L628" i="1" s="1"/>
  <c r="O628" i="1" s="1"/>
  <c r="Q628" i="1" s="1"/>
  <c r="K629" i="1"/>
  <c r="L629" i="1" s="1"/>
  <c r="O629" i="1" s="1"/>
  <c r="Q629" i="1" s="1"/>
  <c r="K630" i="1"/>
  <c r="L630" i="1" s="1"/>
  <c r="O630" i="1" s="1"/>
  <c r="Q630" i="1" s="1"/>
  <c r="K631" i="1"/>
  <c r="L631" i="1" s="1"/>
  <c r="O631" i="1" s="1"/>
  <c r="Q631" i="1" s="1"/>
  <c r="K632" i="1"/>
  <c r="K633" i="1"/>
  <c r="K634" i="1"/>
  <c r="K635" i="1"/>
  <c r="L635" i="1" s="1"/>
  <c r="O635" i="1" s="1"/>
  <c r="Q635" i="1" s="1"/>
  <c r="K636" i="1"/>
  <c r="L636" i="1" s="1"/>
  <c r="O636" i="1" s="1"/>
  <c r="Q636" i="1" s="1"/>
  <c r="K637" i="1"/>
  <c r="L637" i="1" s="1"/>
  <c r="O637" i="1" s="1"/>
  <c r="Q637" i="1" s="1"/>
  <c r="K638" i="1"/>
  <c r="L638" i="1" s="1"/>
  <c r="O638" i="1" s="1"/>
  <c r="Q638" i="1" s="1"/>
  <c r="K639" i="1"/>
  <c r="L639" i="1" s="1"/>
  <c r="O639" i="1" s="1"/>
  <c r="Q639" i="1" s="1"/>
  <c r="K640" i="1"/>
  <c r="K641" i="1"/>
  <c r="K642" i="1"/>
  <c r="K643" i="1"/>
  <c r="K644" i="1"/>
  <c r="L644" i="1" s="1"/>
  <c r="K645" i="1"/>
  <c r="L645" i="1" s="1"/>
  <c r="O645" i="1" s="1"/>
  <c r="Q645" i="1" s="1"/>
  <c r="K646" i="1"/>
  <c r="L646" i="1" s="1"/>
  <c r="O646" i="1" s="1"/>
  <c r="Q646" i="1" s="1"/>
  <c r="K647" i="1"/>
  <c r="L647" i="1" s="1"/>
  <c r="O647" i="1" s="1"/>
  <c r="Q647" i="1" s="1"/>
  <c r="K648" i="1"/>
  <c r="K649" i="1"/>
  <c r="K650" i="1"/>
  <c r="K651" i="1"/>
  <c r="K652" i="1"/>
  <c r="L652" i="1" s="1"/>
  <c r="O652" i="1" s="1"/>
  <c r="Q652" i="1" s="1"/>
  <c r="K653" i="1"/>
  <c r="K654" i="1"/>
  <c r="L654" i="1" s="1"/>
  <c r="O654" i="1" s="1"/>
  <c r="Q654" i="1" s="1"/>
  <c r="K655" i="1"/>
  <c r="L655" i="1" s="1"/>
  <c r="O655" i="1" s="1"/>
  <c r="Q655" i="1" s="1"/>
  <c r="K656" i="1"/>
  <c r="L656" i="1" s="1"/>
  <c r="O656" i="1" s="1"/>
  <c r="Q656" i="1" s="1"/>
  <c r="K657" i="1"/>
  <c r="L657" i="1" s="1"/>
  <c r="O657" i="1" s="1"/>
  <c r="Q657" i="1" s="1"/>
  <c r="K658" i="1"/>
  <c r="K659" i="1"/>
  <c r="K660" i="1"/>
  <c r="L660" i="1" s="1"/>
  <c r="O660" i="1" s="1"/>
  <c r="Q660" i="1" s="1"/>
  <c r="K661" i="1"/>
  <c r="L661" i="1" s="1"/>
  <c r="O661" i="1" s="1"/>
  <c r="Q661" i="1" s="1"/>
  <c r="K662" i="1"/>
  <c r="L662" i="1" s="1"/>
  <c r="O662" i="1" s="1"/>
  <c r="Q662" i="1" s="1"/>
  <c r="K663" i="1"/>
  <c r="L663" i="1" s="1"/>
  <c r="O663" i="1" s="1"/>
  <c r="Q663" i="1" s="1"/>
  <c r="K664" i="1"/>
  <c r="L664" i="1" s="1"/>
  <c r="O664" i="1" s="1"/>
  <c r="Q664" i="1" s="1"/>
  <c r="K665" i="1"/>
  <c r="L665" i="1" s="1"/>
  <c r="O665" i="1" s="1"/>
  <c r="Q665" i="1" s="1"/>
  <c r="K666" i="1"/>
  <c r="L666" i="1" s="1"/>
  <c r="O666" i="1" s="1"/>
  <c r="Q666" i="1" s="1"/>
  <c r="K667" i="1"/>
  <c r="K668" i="1"/>
  <c r="L668" i="1" s="1"/>
  <c r="O668" i="1" s="1"/>
  <c r="Q668" i="1" s="1"/>
  <c r="K669" i="1"/>
  <c r="K670" i="1"/>
  <c r="K671" i="1"/>
  <c r="K672" i="1"/>
  <c r="L672" i="1" s="1"/>
  <c r="O672" i="1" s="1"/>
  <c r="Q672" i="1" s="1"/>
  <c r="K673" i="1"/>
  <c r="L673" i="1" s="1"/>
  <c r="O673" i="1" s="1"/>
  <c r="Q673" i="1" s="1"/>
  <c r="K674" i="1"/>
  <c r="L674" i="1" s="1"/>
  <c r="O674" i="1" s="1"/>
  <c r="Q674" i="1" s="1"/>
  <c r="K675" i="1"/>
  <c r="L675" i="1" s="1"/>
  <c r="O675" i="1" s="1"/>
  <c r="Q675" i="1" s="1"/>
  <c r="K676" i="1"/>
  <c r="L676" i="1" s="1"/>
  <c r="O676" i="1" s="1"/>
  <c r="Q676" i="1" s="1"/>
  <c r="K677" i="1"/>
  <c r="L677" i="1" s="1"/>
  <c r="O677" i="1" s="1"/>
  <c r="Q677" i="1" s="1"/>
  <c r="K678" i="1"/>
  <c r="L678" i="1" s="1"/>
  <c r="O678" i="1" s="1"/>
  <c r="Q678" i="1" s="1"/>
  <c r="K679" i="1"/>
  <c r="L679" i="1" s="1"/>
  <c r="O679" i="1" s="1"/>
  <c r="Q679" i="1" s="1"/>
  <c r="K680" i="1"/>
  <c r="K681" i="1"/>
  <c r="L681" i="1" s="1"/>
  <c r="O681" i="1" s="1"/>
  <c r="Q681" i="1" s="1"/>
  <c r="K682" i="1"/>
  <c r="L682" i="1" s="1"/>
  <c r="O682" i="1" s="1"/>
  <c r="Q682" i="1" s="1"/>
  <c r="K683" i="1"/>
  <c r="L683" i="1" s="1"/>
  <c r="O683" i="1" s="1"/>
  <c r="Q683" i="1" s="1"/>
  <c r="K684" i="1"/>
  <c r="L684" i="1" s="1"/>
  <c r="O684" i="1" s="1"/>
  <c r="Q684" i="1" s="1"/>
  <c r="K685" i="1"/>
  <c r="L685" i="1" s="1"/>
  <c r="O685" i="1" s="1"/>
  <c r="Q685" i="1" s="1"/>
  <c r="K686" i="1"/>
  <c r="K687" i="1"/>
  <c r="K688" i="1"/>
  <c r="K689" i="1"/>
  <c r="K690" i="1"/>
  <c r="L690" i="1" s="1"/>
  <c r="O690" i="1" s="1"/>
  <c r="Q690" i="1" s="1"/>
  <c r="K691" i="1"/>
  <c r="L691" i="1" s="1"/>
  <c r="O691" i="1" s="1"/>
  <c r="Q691" i="1" s="1"/>
  <c r="K692" i="1"/>
  <c r="L692" i="1" s="1"/>
  <c r="K693" i="1"/>
  <c r="L693" i="1" s="1"/>
  <c r="O693" i="1" s="1"/>
  <c r="Q693" i="1" s="1"/>
  <c r="K694" i="1"/>
  <c r="L694" i="1" s="1"/>
  <c r="O694" i="1" s="1"/>
  <c r="Q694" i="1" s="1"/>
  <c r="K695" i="1"/>
  <c r="L695" i="1" s="1"/>
  <c r="O695" i="1" s="1"/>
  <c r="Q695" i="1" s="1"/>
  <c r="K696" i="1"/>
  <c r="K697" i="1"/>
  <c r="K698" i="1"/>
  <c r="K699" i="1"/>
  <c r="L699" i="1" s="1"/>
  <c r="K700" i="1"/>
  <c r="L700" i="1" s="1"/>
  <c r="O700" i="1" s="1"/>
  <c r="Q700" i="1" s="1"/>
  <c r="K701" i="1"/>
  <c r="L701" i="1" s="1"/>
  <c r="O701" i="1" s="1"/>
  <c r="Q701" i="1" s="1"/>
  <c r="K702" i="1"/>
  <c r="L702" i="1" s="1"/>
  <c r="O702" i="1" s="1"/>
  <c r="Q702" i="1" s="1"/>
  <c r="K703" i="1"/>
  <c r="L703" i="1" s="1"/>
  <c r="O703" i="1" s="1"/>
  <c r="Q703" i="1" s="1"/>
  <c r="K704" i="1"/>
  <c r="K705" i="1"/>
  <c r="K706" i="1"/>
  <c r="K707" i="1"/>
  <c r="K708" i="1"/>
  <c r="L708" i="1" s="1"/>
  <c r="O708" i="1" s="1"/>
  <c r="Q708" i="1" s="1"/>
  <c r="K709" i="1"/>
  <c r="L709" i="1" s="1"/>
  <c r="O709" i="1" s="1"/>
  <c r="Q709" i="1" s="1"/>
  <c r="K710" i="1"/>
  <c r="L710" i="1" s="1"/>
  <c r="O710" i="1" s="1"/>
  <c r="Q710" i="1" s="1"/>
  <c r="K711" i="1"/>
  <c r="L711" i="1" s="1"/>
  <c r="O711" i="1" s="1"/>
  <c r="Q711" i="1" s="1"/>
  <c r="K712" i="1"/>
  <c r="K713" i="1"/>
  <c r="K714" i="1"/>
  <c r="K715" i="1"/>
  <c r="K716" i="1"/>
  <c r="L716" i="1" s="1"/>
  <c r="O716" i="1" s="1"/>
  <c r="Q716" i="1" s="1"/>
  <c r="K717" i="1"/>
  <c r="K718" i="1"/>
  <c r="L718" i="1" s="1"/>
  <c r="O718" i="1" s="1"/>
  <c r="Q718" i="1" s="1"/>
  <c r="K719" i="1"/>
  <c r="L719" i="1" s="1"/>
  <c r="O719" i="1" s="1"/>
  <c r="Q719" i="1" s="1"/>
  <c r="K720" i="1"/>
  <c r="L720" i="1" s="1"/>
  <c r="O720" i="1" s="1"/>
  <c r="Q720" i="1" s="1"/>
  <c r="K721" i="1"/>
  <c r="L721" i="1" s="1"/>
  <c r="O721" i="1" s="1"/>
  <c r="Q721" i="1" s="1"/>
  <c r="K722" i="1"/>
  <c r="K723" i="1"/>
  <c r="K724" i="1"/>
  <c r="L724" i="1" s="1"/>
  <c r="O724" i="1" s="1"/>
  <c r="Q724" i="1" s="1"/>
  <c r="K725" i="1"/>
  <c r="K726" i="1"/>
  <c r="L726" i="1" s="1"/>
  <c r="O726" i="1" s="1"/>
  <c r="Q726" i="1" s="1"/>
  <c r="K727" i="1"/>
  <c r="L727" i="1" s="1"/>
  <c r="O727" i="1" s="1"/>
  <c r="Q727" i="1" s="1"/>
  <c r="K728" i="1"/>
  <c r="L728" i="1" s="1"/>
  <c r="O728" i="1" s="1"/>
  <c r="Q728" i="1" s="1"/>
  <c r="K729" i="1"/>
  <c r="L729" i="1" s="1"/>
  <c r="O729" i="1" s="1"/>
  <c r="Q729" i="1" s="1"/>
  <c r="K730" i="1"/>
  <c r="L730" i="1" s="1"/>
  <c r="O730" i="1" s="1"/>
  <c r="Q730" i="1" s="1"/>
  <c r="K731" i="1"/>
  <c r="K732" i="1"/>
  <c r="L732" i="1" s="1"/>
  <c r="O732" i="1" s="1"/>
  <c r="Q732" i="1" s="1"/>
  <c r="K733" i="1"/>
  <c r="L733" i="1" s="1"/>
  <c r="O733" i="1" s="1"/>
  <c r="Q733" i="1" s="1"/>
  <c r="K734" i="1"/>
  <c r="L734" i="1" s="1"/>
  <c r="O734" i="1" s="1"/>
  <c r="Q734" i="1" s="1"/>
  <c r="K735" i="1"/>
  <c r="L735" i="1" s="1"/>
  <c r="O735" i="1" s="1"/>
  <c r="Q735" i="1" s="1"/>
  <c r="K736" i="1"/>
  <c r="L736" i="1" s="1"/>
  <c r="O736" i="1" s="1"/>
  <c r="Q736" i="1" s="1"/>
  <c r="K737" i="1"/>
  <c r="L737" i="1" s="1"/>
  <c r="O737" i="1" s="1"/>
  <c r="Q737" i="1" s="1"/>
  <c r="K738" i="1"/>
  <c r="L738" i="1" s="1"/>
  <c r="O738" i="1" s="1"/>
  <c r="Q738" i="1" s="1"/>
  <c r="K739" i="1"/>
  <c r="L739" i="1" s="1"/>
  <c r="O739" i="1" s="1"/>
  <c r="Q739" i="1" s="1"/>
  <c r="K740" i="1"/>
  <c r="L740" i="1" s="1"/>
  <c r="O740" i="1" s="1"/>
  <c r="Q740" i="1" s="1"/>
  <c r="K741" i="1"/>
  <c r="K742" i="1"/>
  <c r="K743" i="1"/>
  <c r="K744" i="1"/>
  <c r="K745" i="1"/>
  <c r="L745" i="1" s="1"/>
  <c r="O745" i="1" s="1"/>
  <c r="Q745" i="1" s="1"/>
  <c r="K746" i="1"/>
  <c r="L746" i="1" s="1"/>
  <c r="O746" i="1" s="1"/>
  <c r="Q746" i="1" s="1"/>
  <c r="K747" i="1"/>
  <c r="L747" i="1" s="1"/>
  <c r="O747" i="1" s="1"/>
  <c r="Q747" i="1" s="1"/>
  <c r="K748" i="1"/>
  <c r="L748" i="1" s="1"/>
  <c r="O748" i="1" s="1"/>
  <c r="Q748" i="1" s="1"/>
  <c r="K749" i="1"/>
  <c r="L749" i="1" s="1"/>
  <c r="O749" i="1" s="1"/>
  <c r="Q749" i="1" s="1"/>
  <c r="K750" i="1"/>
  <c r="L750" i="1" s="1"/>
  <c r="O750" i="1" s="1"/>
  <c r="Q750" i="1" s="1"/>
  <c r="K751" i="1"/>
  <c r="L751" i="1" s="1"/>
  <c r="O751" i="1" s="1"/>
  <c r="Q751" i="1" s="1"/>
  <c r="K752" i="1"/>
  <c r="K753" i="1"/>
  <c r="K754" i="1"/>
  <c r="L754" i="1" s="1"/>
  <c r="O754" i="1" s="1"/>
  <c r="Q754" i="1" s="1"/>
  <c r="K755" i="1"/>
  <c r="L755" i="1" s="1"/>
  <c r="O755" i="1" s="1"/>
  <c r="Q755" i="1" s="1"/>
  <c r="K756" i="1"/>
  <c r="L756" i="1" s="1"/>
  <c r="O756" i="1" s="1"/>
  <c r="Q756" i="1" s="1"/>
  <c r="K757" i="1"/>
  <c r="L757" i="1" s="1"/>
  <c r="O757" i="1" s="1"/>
  <c r="Q757" i="1" s="1"/>
  <c r="K758" i="1"/>
  <c r="L758" i="1" s="1"/>
  <c r="O758" i="1" s="1"/>
  <c r="Q758" i="1" s="1"/>
  <c r="K759" i="1"/>
  <c r="K760" i="1"/>
  <c r="K761" i="1"/>
  <c r="K762" i="1"/>
  <c r="K763" i="1"/>
  <c r="L763" i="1" s="1"/>
  <c r="O763" i="1" s="1"/>
  <c r="Q763" i="1" s="1"/>
  <c r="K764" i="1"/>
  <c r="L764" i="1" s="1"/>
  <c r="O764" i="1" s="1"/>
  <c r="Q764" i="1" s="1"/>
  <c r="K765" i="1"/>
  <c r="L765" i="1" s="1"/>
  <c r="O765" i="1" s="1"/>
  <c r="Q765" i="1" s="1"/>
  <c r="K766" i="1"/>
  <c r="L766" i="1" s="1"/>
  <c r="O766" i="1" s="1"/>
  <c r="Q766" i="1" s="1"/>
  <c r="K767" i="1"/>
  <c r="L767" i="1" s="1"/>
  <c r="O767" i="1" s="1"/>
  <c r="Q767" i="1" s="1"/>
  <c r="K768" i="1"/>
  <c r="K769" i="1"/>
  <c r="K770" i="1"/>
  <c r="K771" i="1"/>
  <c r="K772" i="1"/>
  <c r="L772" i="1" s="1"/>
  <c r="K773" i="1"/>
  <c r="L773" i="1" s="1"/>
  <c r="O773" i="1" s="1"/>
  <c r="Q773" i="1" s="1"/>
  <c r="K774" i="1"/>
  <c r="L774" i="1" s="1"/>
  <c r="O774" i="1" s="1"/>
  <c r="Q774" i="1" s="1"/>
  <c r="K775" i="1"/>
  <c r="L775" i="1" s="1"/>
  <c r="O775" i="1" s="1"/>
  <c r="Q775" i="1" s="1"/>
  <c r="K776" i="1"/>
  <c r="K777" i="1"/>
  <c r="K778" i="1"/>
  <c r="K779" i="1"/>
  <c r="K780" i="1"/>
  <c r="L780" i="1" s="1"/>
  <c r="O780" i="1" s="1"/>
  <c r="Q780" i="1" s="1"/>
  <c r="K781" i="1"/>
  <c r="L781" i="1" s="1"/>
  <c r="O781" i="1" s="1"/>
  <c r="Q781" i="1" s="1"/>
  <c r="K782" i="1"/>
  <c r="L782" i="1" s="1"/>
  <c r="O782" i="1" s="1"/>
  <c r="Q782" i="1" s="1"/>
  <c r="K783" i="1"/>
  <c r="L783" i="1" s="1"/>
  <c r="O783" i="1" s="1"/>
  <c r="Q783" i="1" s="1"/>
  <c r="K784" i="1"/>
  <c r="L784" i="1" s="1"/>
  <c r="O784" i="1" s="1"/>
  <c r="Q784" i="1" s="1"/>
  <c r="K785" i="1"/>
  <c r="L785" i="1" s="1"/>
  <c r="O785" i="1" s="1"/>
  <c r="Q785" i="1" s="1"/>
  <c r="K786" i="1"/>
  <c r="K787" i="1"/>
  <c r="K788" i="1"/>
  <c r="L788" i="1" s="1"/>
  <c r="O788" i="1" s="1"/>
  <c r="Q788" i="1" s="1"/>
  <c r="K789" i="1"/>
  <c r="K790" i="1"/>
  <c r="K791" i="1"/>
  <c r="L791" i="1" s="1"/>
  <c r="O791" i="1" s="1"/>
  <c r="Q791" i="1" s="1"/>
  <c r="K792" i="1"/>
  <c r="L792" i="1" s="1"/>
  <c r="O792" i="1" s="1"/>
  <c r="Q792" i="1" s="1"/>
  <c r="K793" i="1"/>
  <c r="L793" i="1" s="1"/>
  <c r="O793" i="1" s="1"/>
  <c r="Q793" i="1" s="1"/>
  <c r="K794" i="1"/>
  <c r="L794" i="1" s="1"/>
  <c r="O794" i="1" s="1"/>
  <c r="Q794" i="1" s="1"/>
  <c r="K795" i="1"/>
  <c r="K796" i="1"/>
  <c r="L796" i="1" s="1"/>
  <c r="O796" i="1" s="1"/>
  <c r="Q796" i="1" s="1"/>
  <c r="K797" i="1"/>
  <c r="K798" i="1"/>
  <c r="L798" i="1" s="1"/>
  <c r="O798" i="1" s="1"/>
  <c r="Q798" i="1" s="1"/>
  <c r="K799" i="1"/>
  <c r="L799" i="1" s="1"/>
  <c r="O799" i="1" s="1"/>
  <c r="Q799" i="1" s="1"/>
  <c r="K800" i="1"/>
  <c r="L800" i="1" s="1"/>
  <c r="O800" i="1" s="1"/>
  <c r="Q800" i="1" s="1"/>
  <c r="K801" i="1"/>
  <c r="L801" i="1" s="1"/>
  <c r="O801" i="1" s="1"/>
  <c r="Q801" i="1" s="1"/>
  <c r="K802" i="1"/>
  <c r="L802" i="1" s="1"/>
  <c r="O802" i="1" s="1"/>
  <c r="Q802" i="1" s="1"/>
  <c r="K803" i="1"/>
  <c r="L803" i="1" s="1"/>
  <c r="O803" i="1" s="1"/>
  <c r="Q803" i="1" s="1"/>
  <c r="K804" i="1"/>
  <c r="L804" i="1" s="1"/>
  <c r="O804" i="1" s="1"/>
  <c r="Q804" i="1" s="1"/>
  <c r="K805" i="1"/>
  <c r="L805" i="1" s="1"/>
  <c r="O805" i="1" s="1"/>
  <c r="Q805" i="1" s="1"/>
  <c r="K806" i="1"/>
  <c r="L806" i="1" s="1"/>
  <c r="O806" i="1" s="1"/>
  <c r="Q806" i="1" s="1"/>
  <c r="K807" i="1"/>
  <c r="L807" i="1" s="1"/>
  <c r="O807" i="1" s="1"/>
  <c r="Q807" i="1" s="1"/>
  <c r="K808" i="1"/>
  <c r="K809" i="1"/>
  <c r="L809" i="1" s="1"/>
  <c r="O809" i="1" s="1"/>
  <c r="Q809" i="1" s="1"/>
  <c r="K810" i="1"/>
  <c r="L810" i="1" s="1"/>
  <c r="O810" i="1" s="1"/>
  <c r="Q810" i="1" s="1"/>
  <c r="K811" i="1"/>
  <c r="L811" i="1" s="1"/>
  <c r="O811" i="1" s="1"/>
  <c r="Q811" i="1" s="1"/>
  <c r="K812" i="1"/>
  <c r="L812" i="1" s="1"/>
  <c r="O812" i="1" s="1"/>
  <c r="Q812" i="1" s="1"/>
  <c r="K813" i="1"/>
  <c r="L813" i="1" s="1"/>
  <c r="O813" i="1" s="1"/>
  <c r="Q813" i="1" s="1"/>
  <c r="K814" i="1"/>
  <c r="K815" i="1"/>
  <c r="K816" i="1"/>
  <c r="K817" i="1"/>
  <c r="K818" i="1"/>
  <c r="L818" i="1" s="1"/>
  <c r="O818" i="1" s="1"/>
  <c r="Q818" i="1" s="1"/>
  <c r="K819" i="1"/>
  <c r="L819" i="1" s="1"/>
  <c r="O819" i="1" s="1"/>
  <c r="Q819" i="1" s="1"/>
  <c r="K820" i="1"/>
  <c r="L820" i="1" s="1"/>
  <c r="O820" i="1" s="1"/>
  <c r="Q820" i="1" s="1"/>
  <c r="K821" i="1"/>
  <c r="L821" i="1" s="1"/>
  <c r="O821" i="1" s="1"/>
  <c r="Q821" i="1" s="1"/>
  <c r="K822" i="1"/>
  <c r="L822" i="1" s="1"/>
  <c r="O822" i="1" s="1"/>
  <c r="Q822" i="1" s="1"/>
  <c r="K823" i="1"/>
  <c r="L823" i="1" s="1"/>
  <c r="O823" i="1" s="1"/>
  <c r="Q823" i="1" s="1"/>
  <c r="K824" i="1"/>
  <c r="K825" i="1"/>
  <c r="K826" i="1"/>
  <c r="L826" i="1" s="1"/>
  <c r="O826" i="1" s="1"/>
  <c r="Q826" i="1" s="1"/>
  <c r="K827" i="1"/>
  <c r="L827" i="1" s="1"/>
  <c r="K828" i="1"/>
  <c r="L828" i="1" s="1"/>
  <c r="O828" i="1" s="1"/>
  <c r="Q828" i="1" s="1"/>
  <c r="K829" i="1"/>
  <c r="L829" i="1" s="1"/>
  <c r="O829" i="1" s="1"/>
  <c r="Q829" i="1" s="1"/>
  <c r="K830" i="1"/>
  <c r="K831" i="1"/>
  <c r="K832" i="1"/>
  <c r="K833" i="1"/>
  <c r="K834" i="1"/>
  <c r="L834" i="1" s="1"/>
  <c r="O834" i="1" s="1"/>
  <c r="Q834" i="1" s="1"/>
  <c r="K835" i="1"/>
  <c r="L835" i="1" s="1"/>
  <c r="O835" i="1" s="1"/>
  <c r="Q835" i="1" s="1"/>
  <c r="K836" i="1"/>
  <c r="L836" i="1" s="1"/>
  <c r="O836" i="1" s="1"/>
  <c r="Q836" i="1" s="1"/>
  <c r="K837" i="1"/>
  <c r="L837" i="1" s="1"/>
  <c r="O837" i="1" s="1"/>
  <c r="Q837" i="1" s="1"/>
  <c r="K838" i="1"/>
  <c r="L838" i="1" s="1"/>
  <c r="O838" i="1" s="1"/>
  <c r="Q838" i="1" s="1"/>
  <c r="K839" i="1"/>
  <c r="L839" i="1" s="1"/>
  <c r="O839" i="1" s="1"/>
  <c r="Q839" i="1" s="1"/>
  <c r="K840" i="1"/>
  <c r="K841" i="1"/>
  <c r="K842" i="1"/>
  <c r="L842" i="1" s="1"/>
  <c r="O842" i="1" s="1"/>
  <c r="Q842" i="1" s="1"/>
  <c r="K843" i="1"/>
  <c r="L843" i="1" s="1"/>
  <c r="O843" i="1" s="1"/>
  <c r="Q843" i="1" s="1"/>
  <c r="K844" i="1"/>
  <c r="L844" i="1" s="1"/>
  <c r="O844" i="1" s="1"/>
  <c r="Q844" i="1" s="1"/>
  <c r="K845" i="1"/>
  <c r="L845" i="1" s="1"/>
  <c r="O845" i="1" s="1"/>
  <c r="Q845" i="1" s="1"/>
  <c r="K846" i="1"/>
  <c r="K847" i="1"/>
  <c r="K848" i="1"/>
  <c r="K849" i="1"/>
  <c r="K850" i="1"/>
  <c r="L850" i="1" s="1"/>
  <c r="O850" i="1" s="1"/>
  <c r="Q850" i="1" s="1"/>
  <c r="K851" i="1"/>
  <c r="L851" i="1" s="1"/>
  <c r="K852" i="1"/>
  <c r="L852" i="1" s="1"/>
  <c r="O852" i="1" s="1"/>
  <c r="Q852" i="1" s="1"/>
  <c r="K853" i="1"/>
  <c r="L853" i="1" s="1"/>
  <c r="O853" i="1" s="1"/>
  <c r="Q853" i="1" s="1"/>
  <c r="K854" i="1"/>
  <c r="L854" i="1" s="1"/>
  <c r="O854" i="1" s="1"/>
  <c r="Q854" i="1" s="1"/>
  <c r="K855" i="1"/>
  <c r="L855" i="1" s="1"/>
  <c r="O855" i="1" s="1"/>
  <c r="Q855" i="1" s="1"/>
  <c r="K856" i="1"/>
  <c r="K857" i="1"/>
  <c r="K858" i="1"/>
  <c r="L858" i="1" s="1"/>
  <c r="O858" i="1" s="1"/>
  <c r="Q858" i="1" s="1"/>
  <c r="K859" i="1"/>
  <c r="L859" i="1" s="1"/>
  <c r="O859" i="1" s="1"/>
  <c r="Q859" i="1" s="1"/>
  <c r="K860" i="1"/>
  <c r="L860" i="1" s="1"/>
  <c r="O860" i="1" s="1"/>
  <c r="Q860" i="1" s="1"/>
  <c r="K861" i="1"/>
  <c r="L861" i="1" s="1"/>
  <c r="O861" i="1" s="1"/>
  <c r="Q861" i="1" s="1"/>
  <c r="K862" i="1"/>
  <c r="K863" i="1"/>
  <c r="K864" i="1"/>
  <c r="K865" i="1"/>
  <c r="K866" i="1"/>
  <c r="L866" i="1" s="1"/>
  <c r="O866" i="1" s="1"/>
  <c r="Q866" i="1" s="1"/>
  <c r="K867" i="1"/>
  <c r="L867" i="1" s="1"/>
  <c r="O867" i="1" s="1"/>
  <c r="Q867" i="1" s="1"/>
  <c r="K868" i="1"/>
  <c r="L868" i="1" s="1"/>
  <c r="O868" i="1" s="1"/>
  <c r="Q868" i="1" s="1"/>
  <c r="K869" i="1"/>
  <c r="L869" i="1" s="1"/>
  <c r="O869" i="1" s="1"/>
  <c r="Q869" i="1" s="1"/>
  <c r="K870" i="1"/>
  <c r="L870" i="1" s="1"/>
  <c r="O870" i="1" s="1"/>
  <c r="Q870" i="1" s="1"/>
  <c r="K871" i="1"/>
  <c r="L871" i="1" s="1"/>
  <c r="O871" i="1" s="1"/>
  <c r="Q871" i="1" s="1"/>
  <c r="K872" i="1"/>
  <c r="K873" i="1"/>
  <c r="K874" i="1"/>
  <c r="L874" i="1" s="1"/>
  <c r="O874" i="1" s="1"/>
  <c r="Q874" i="1" s="1"/>
  <c r="K875" i="1"/>
  <c r="L875" i="1" s="1"/>
  <c r="O875" i="1" s="1"/>
  <c r="Q875" i="1" s="1"/>
  <c r="K876" i="1"/>
  <c r="L876" i="1" s="1"/>
  <c r="O876" i="1" s="1"/>
  <c r="Q876" i="1" s="1"/>
  <c r="K877" i="1"/>
  <c r="L877" i="1" s="1"/>
  <c r="O877" i="1" s="1"/>
  <c r="Q877" i="1" s="1"/>
  <c r="K878" i="1"/>
  <c r="K879" i="1"/>
  <c r="K880" i="1"/>
  <c r="K881" i="1"/>
  <c r="K882" i="1"/>
  <c r="L882" i="1" s="1"/>
  <c r="O882" i="1" s="1"/>
  <c r="Q882" i="1" s="1"/>
  <c r="K883" i="1"/>
  <c r="L883" i="1" s="1"/>
  <c r="O883" i="1" s="1"/>
  <c r="Q883" i="1" s="1"/>
  <c r="K884" i="1"/>
  <c r="L884" i="1" s="1"/>
  <c r="O884" i="1" s="1"/>
  <c r="Q884" i="1" s="1"/>
  <c r="K885" i="1"/>
  <c r="L885" i="1" s="1"/>
  <c r="O885" i="1" s="1"/>
  <c r="Q885" i="1" s="1"/>
  <c r="K886" i="1"/>
  <c r="L886" i="1" s="1"/>
  <c r="O886" i="1" s="1"/>
  <c r="Q886" i="1" s="1"/>
  <c r="K887" i="1"/>
  <c r="L887" i="1" s="1"/>
  <c r="O887" i="1" s="1"/>
  <c r="Q887" i="1" s="1"/>
  <c r="K888" i="1"/>
  <c r="K889" i="1"/>
  <c r="K890" i="1"/>
  <c r="L890" i="1" s="1"/>
  <c r="O890" i="1" s="1"/>
  <c r="Q890" i="1" s="1"/>
  <c r="K891" i="1"/>
  <c r="L891" i="1" s="1"/>
  <c r="O891" i="1" s="1"/>
  <c r="Q891" i="1" s="1"/>
  <c r="K892" i="1"/>
  <c r="L892" i="1" s="1"/>
  <c r="O892" i="1" s="1"/>
  <c r="Q892" i="1" s="1"/>
  <c r="K893" i="1"/>
  <c r="L893" i="1" s="1"/>
  <c r="O893" i="1" s="1"/>
  <c r="Q893" i="1" s="1"/>
  <c r="K894" i="1"/>
  <c r="K895" i="1"/>
  <c r="K896" i="1"/>
  <c r="K897" i="1"/>
  <c r="K898" i="1"/>
  <c r="L898" i="1" s="1"/>
  <c r="O898" i="1" s="1"/>
  <c r="Q898" i="1" s="1"/>
  <c r="K899" i="1"/>
  <c r="L899" i="1" s="1"/>
  <c r="K900" i="1"/>
  <c r="L900" i="1" s="1"/>
  <c r="K901" i="1"/>
  <c r="L901" i="1" s="1"/>
  <c r="O901" i="1" s="1"/>
  <c r="Q901" i="1" s="1"/>
  <c r="K902" i="1"/>
  <c r="L902" i="1" s="1"/>
  <c r="O902" i="1" s="1"/>
  <c r="Q902" i="1" s="1"/>
  <c r="K903" i="1"/>
  <c r="L903" i="1" s="1"/>
  <c r="O903" i="1" s="1"/>
  <c r="Q903" i="1" s="1"/>
  <c r="K904" i="1"/>
  <c r="K905" i="1"/>
  <c r="K906" i="1"/>
  <c r="L906" i="1" s="1"/>
  <c r="O906" i="1" s="1"/>
  <c r="Q906" i="1" s="1"/>
  <c r="K907" i="1"/>
  <c r="L907" i="1" s="1"/>
  <c r="K908" i="1"/>
  <c r="L908" i="1" s="1"/>
  <c r="O908" i="1" s="1"/>
  <c r="Q908" i="1" s="1"/>
  <c r="K909" i="1"/>
  <c r="L909" i="1" s="1"/>
  <c r="O909" i="1" s="1"/>
  <c r="Q909" i="1" s="1"/>
  <c r="K910" i="1"/>
  <c r="K911" i="1"/>
  <c r="K912" i="1"/>
  <c r="K913" i="1"/>
  <c r="K914" i="1"/>
  <c r="L914" i="1" s="1"/>
  <c r="O914" i="1" s="1"/>
  <c r="Q914" i="1" s="1"/>
  <c r="K915" i="1"/>
  <c r="L915" i="1" s="1"/>
  <c r="O915" i="1" s="1"/>
  <c r="Q915" i="1" s="1"/>
  <c r="K916" i="1"/>
  <c r="L916" i="1" s="1"/>
  <c r="O916" i="1" s="1"/>
  <c r="Q916" i="1" s="1"/>
  <c r="K917" i="1"/>
  <c r="L917" i="1" s="1"/>
  <c r="O917" i="1" s="1"/>
  <c r="Q917" i="1" s="1"/>
  <c r="K918" i="1"/>
  <c r="L918" i="1" s="1"/>
  <c r="O918" i="1" s="1"/>
  <c r="Q918" i="1" s="1"/>
  <c r="K919" i="1"/>
  <c r="L919" i="1" s="1"/>
  <c r="O919" i="1" s="1"/>
  <c r="Q919" i="1" s="1"/>
  <c r="K920" i="1"/>
  <c r="K921" i="1"/>
  <c r="K922" i="1"/>
  <c r="L922" i="1" s="1"/>
  <c r="O922" i="1" s="1"/>
  <c r="Q922" i="1" s="1"/>
  <c r="K923" i="1"/>
  <c r="L923" i="1" s="1"/>
  <c r="O923" i="1" s="1"/>
  <c r="Q923" i="1" s="1"/>
  <c r="K924" i="1"/>
  <c r="L924" i="1" s="1"/>
  <c r="O924" i="1" s="1"/>
  <c r="Q924" i="1" s="1"/>
  <c r="K925" i="1"/>
  <c r="L925" i="1" s="1"/>
  <c r="O925" i="1" s="1"/>
  <c r="Q925" i="1" s="1"/>
  <c r="K926" i="1"/>
  <c r="K927" i="1"/>
  <c r="K928" i="1"/>
  <c r="K929" i="1"/>
  <c r="K930" i="1"/>
  <c r="L930" i="1" s="1"/>
  <c r="O930" i="1" s="1"/>
  <c r="Q930" i="1" s="1"/>
  <c r="K931" i="1"/>
  <c r="L931" i="1" s="1"/>
  <c r="O931" i="1" s="1"/>
  <c r="Q931" i="1" s="1"/>
  <c r="K932" i="1"/>
  <c r="L932" i="1" s="1"/>
  <c r="O932" i="1" s="1"/>
  <c r="Q932" i="1" s="1"/>
  <c r="K933" i="1"/>
  <c r="L933" i="1" s="1"/>
  <c r="O933" i="1" s="1"/>
  <c r="Q933" i="1" s="1"/>
  <c r="K934" i="1"/>
  <c r="L934" i="1" s="1"/>
  <c r="O934" i="1" s="1"/>
  <c r="Q934" i="1" s="1"/>
  <c r="K935" i="1"/>
  <c r="L935" i="1" s="1"/>
  <c r="O935" i="1" s="1"/>
  <c r="Q935" i="1" s="1"/>
  <c r="K936" i="1"/>
  <c r="K937" i="1"/>
  <c r="K938" i="1"/>
  <c r="L938" i="1" s="1"/>
  <c r="O938" i="1" s="1"/>
  <c r="Q938" i="1" s="1"/>
  <c r="K939" i="1"/>
  <c r="L939" i="1" s="1"/>
  <c r="O939" i="1" s="1"/>
  <c r="Q939" i="1" s="1"/>
  <c r="K940" i="1"/>
  <c r="L940" i="1" s="1"/>
  <c r="O940" i="1" s="1"/>
  <c r="Q940" i="1" s="1"/>
  <c r="K941" i="1"/>
  <c r="L941" i="1" s="1"/>
  <c r="O941" i="1" s="1"/>
  <c r="Q941" i="1" s="1"/>
  <c r="K942" i="1"/>
  <c r="K943" i="1"/>
  <c r="K944" i="1"/>
  <c r="K945" i="1"/>
  <c r="L945" i="1" s="1"/>
  <c r="O945" i="1" s="1"/>
  <c r="Q945" i="1" s="1"/>
  <c r="K946" i="1"/>
  <c r="L946" i="1" s="1"/>
  <c r="O946" i="1" s="1"/>
  <c r="Q946" i="1" s="1"/>
  <c r="K947" i="1"/>
  <c r="L947" i="1" s="1"/>
  <c r="O947" i="1" s="1"/>
  <c r="Q947" i="1" s="1"/>
  <c r="K948" i="1"/>
  <c r="L948" i="1" s="1"/>
  <c r="O948" i="1" s="1"/>
  <c r="Q948" i="1" s="1"/>
  <c r="K949" i="1"/>
  <c r="L949" i="1" s="1"/>
  <c r="O949" i="1" s="1"/>
  <c r="Q949" i="1" s="1"/>
  <c r="K950" i="1"/>
  <c r="L950" i="1" s="1"/>
  <c r="O950" i="1" s="1"/>
  <c r="Q950" i="1" s="1"/>
  <c r="K951" i="1"/>
  <c r="L951" i="1" s="1"/>
  <c r="O951" i="1" s="1"/>
  <c r="Q951" i="1" s="1"/>
  <c r="K952" i="1"/>
  <c r="K953" i="1"/>
  <c r="L953" i="1" s="1"/>
  <c r="O953" i="1" s="1"/>
  <c r="Q953" i="1" s="1"/>
  <c r="K954" i="1"/>
  <c r="L954" i="1" s="1"/>
  <c r="O954" i="1" s="1"/>
  <c r="Q954" i="1" s="1"/>
  <c r="K955" i="1"/>
  <c r="L955" i="1" s="1"/>
  <c r="O955" i="1" s="1"/>
  <c r="Q955" i="1" s="1"/>
  <c r="K956" i="1"/>
  <c r="L956" i="1" s="1"/>
  <c r="O956" i="1" s="1"/>
  <c r="Q956" i="1" s="1"/>
  <c r="K957" i="1"/>
  <c r="L957" i="1" s="1"/>
  <c r="O957" i="1" s="1"/>
  <c r="Q957" i="1" s="1"/>
  <c r="K958" i="1"/>
  <c r="K959" i="1"/>
  <c r="K960" i="1"/>
  <c r="K961" i="1"/>
  <c r="L961" i="1" s="1"/>
  <c r="O961" i="1" s="1"/>
  <c r="Q961" i="1" s="1"/>
  <c r="K962" i="1"/>
  <c r="L962" i="1" s="1"/>
  <c r="O962" i="1" s="1"/>
  <c r="Q962" i="1" s="1"/>
  <c r="K963" i="1"/>
  <c r="L963" i="1" s="1"/>
  <c r="O963" i="1" s="1"/>
  <c r="Q963" i="1" s="1"/>
  <c r="K964" i="1"/>
  <c r="L964" i="1" s="1"/>
  <c r="O964" i="1" s="1"/>
  <c r="Q964" i="1" s="1"/>
  <c r="K965" i="1"/>
  <c r="L965" i="1" s="1"/>
  <c r="O965" i="1" s="1"/>
  <c r="Q965" i="1" s="1"/>
  <c r="K966" i="1"/>
  <c r="L966" i="1" s="1"/>
  <c r="O966" i="1" s="1"/>
  <c r="Q966" i="1" s="1"/>
  <c r="K967" i="1"/>
  <c r="L967" i="1" s="1"/>
  <c r="O967" i="1" s="1"/>
  <c r="Q967" i="1" s="1"/>
  <c r="K968" i="1"/>
  <c r="K969" i="1"/>
  <c r="L969" i="1" s="1"/>
  <c r="O969" i="1" s="1"/>
  <c r="Q969" i="1" s="1"/>
  <c r="K970" i="1"/>
  <c r="L970" i="1" s="1"/>
  <c r="O970" i="1" s="1"/>
  <c r="Q970" i="1" s="1"/>
  <c r="K971" i="1"/>
  <c r="L971" i="1" s="1"/>
  <c r="O971" i="1" s="1"/>
  <c r="Q971" i="1" s="1"/>
  <c r="K972" i="1"/>
  <c r="L972" i="1" s="1"/>
  <c r="O972" i="1" s="1"/>
  <c r="Q972" i="1" s="1"/>
  <c r="K973" i="1"/>
  <c r="L973" i="1" s="1"/>
  <c r="O973" i="1" s="1"/>
  <c r="Q973" i="1" s="1"/>
  <c r="K974" i="1"/>
  <c r="K975" i="1"/>
  <c r="K976" i="1"/>
  <c r="K977" i="1"/>
  <c r="L977" i="1" s="1"/>
  <c r="O977" i="1" s="1"/>
  <c r="Q977" i="1" s="1"/>
  <c r="K978" i="1"/>
  <c r="L978" i="1" s="1"/>
  <c r="O978" i="1" s="1"/>
  <c r="Q978" i="1" s="1"/>
  <c r="K979" i="1"/>
  <c r="L979" i="1" s="1"/>
  <c r="K980" i="1"/>
  <c r="L980" i="1" s="1"/>
  <c r="K981" i="1"/>
  <c r="L981" i="1" s="1"/>
  <c r="O981" i="1" s="1"/>
  <c r="Q981" i="1" s="1"/>
  <c r="K982" i="1"/>
  <c r="L982" i="1" s="1"/>
  <c r="O982" i="1" s="1"/>
  <c r="Q982" i="1" s="1"/>
  <c r="K983" i="1"/>
  <c r="L983" i="1" s="1"/>
  <c r="O983" i="1" s="1"/>
  <c r="Q983" i="1" s="1"/>
  <c r="K984" i="1"/>
  <c r="K985" i="1"/>
  <c r="L985" i="1" s="1"/>
  <c r="O985" i="1" s="1"/>
  <c r="Q985" i="1" s="1"/>
  <c r="K986" i="1"/>
  <c r="L986" i="1" s="1"/>
  <c r="O986" i="1" s="1"/>
  <c r="Q986" i="1" s="1"/>
  <c r="K987" i="1"/>
  <c r="L987" i="1" s="1"/>
  <c r="O987" i="1" s="1"/>
  <c r="Q987" i="1" s="1"/>
  <c r="K988" i="1"/>
  <c r="L988" i="1" s="1"/>
  <c r="O988" i="1" s="1"/>
  <c r="Q988" i="1" s="1"/>
  <c r="K989" i="1"/>
  <c r="L989" i="1" s="1"/>
  <c r="O989" i="1" s="1"/>
  <c r="Q989" i="1" s="1"/>
  <c r="K990" i="1"/>
  <c r="K991" i="1"/>
  <c r="K992" i="1"/>
  <c r="K993" i="1"/>
  <c r="L993" i="1" s="1"/>
  <c r="O993" i="1" s="1"/>
  <c r="Q993" i="1" s="1"/>
  <c r="K994" i="1"/>
  <c r="L994" i="1" s="1"/>
  <c r="O994" i="1" s="1"/>
  <c r="Q994" i="1" s="1"/>
  <c r="K995" i="1"/>
  <c r="L995" i="1" s="1"/>
  <c r="O995" i="1" s="1"/>
  <c r="Q995" i="1" s="1"/>
  <c r="K996" i="1"/>
  <c r="L996" i="1" s="1"/>
  <c r="O996" i="1" s="1"/>
  <c r="Q996" i="1" s="1"/>
  <c r="K997" i="1"/>
  <c r="L997" i="1" s="1"/>
  <c r="O997" i="1" s="1"/>
  <c r="Q997" i="1" s="1"/>
  <c r="K998" i="1"/>
  <c r="L998" i="1" s="1"/>
  <c r="O998" i="1" s="1"/>
  <c r="Q998" i="1" s="1"/>
  <c r="K999" i="1"/>
  <c r="L999" i="1" s="1"/>
  <c r="O999" i="1" s="1"/>
  <c r="Q999" i="1" s="1"/>
  <c r="K3" i="1"/>
  <c r="K4" i="1"/>
  <c r="L4" i="1" s="1"/>
  <c r="O4" i="1" s="1"/>
  <c r="Q4" i="1" s="1"/>
  <c r="K5" i="1"/>
  <c r="K6" i="1"/>
  <c r="L6" i="1" s="1"/>
  <c r="O6" i="1" s="1"/>
  <c r="Q6" i="1" s="1"/>
  <c r="K7" i="1"/>
  <c r="L7" i="1" s="1"/>
  <c r="O7" i="1" s="1"/>
  <c r="Q7" i="1" s="1"/>
  <c r="K8" i="1"/>
  <c r="L8" i="1" s="1"/>
  <c r="O8" i="1" s="1"/>
  <c r="Q8" i="1" s="1"/>
  <c r="K9" i="1"/>
  <c r="L9" i="1" s="1"/>
  <c r="O9" i="1" s="1"/>
  <c r="Q9" i="1" s="1"/>
  <c r="K10" i="1"/>
  <c r="L10" i="1" s="1"/>
  <c r="O10" i="1" s="1"/>
  <c r="Q10" i="1" s="1"/>
  <c r="K11" i="1"/>
  <c r="L11" i="1" s="1"/>
  <c r="K12" i="1"/>
  <c r="L12" i="1" s="1"/>
  <c r="O12" i="1" s="1"/>
  <c r="Q12" i="1" s="1"/>
  <c r="K13" i="1"/>
  <c r="K14" i="1"/>
  <c r="L14" i="1" s="1"/>
  <c r="O14" i="1" s="1"/>
  <c r="Q14" i="1" s="1"/>
  <c r="K15" i="1"/>
  <c r="L15" i="1" s="1"/>
  <c r="O15" i="1" s="1"/>
  <c r="Q15" i="1" s="1"/>
  <c r="K16" i="1"/>
  <c r="K17" i="1"/>
  <c r="K18" i="1"/>
  <c r="L18" i="1" s="1"/>
  <c r="O18" i="1" s="1"/>
  <c r="Q18" i="1" s="1"/>
  <c r="K19" i="1"/>
  <c r="L19" i="1" s="1"/>
  <c r="O787" i="1" l="1"/>
  <c r="Q787" i="1" s="1"/>
  <c r="O715" i="1"/>
  <c r="Q715" i="1" s="1"/>
  <c r="O451" i="1"/>
  <c r="Q451" i="1" s="1"/>
  <c r="O347" i="1"/>
  <c r="Q347" i="1" s="1"/>
  <c r="O187" i="1"/>
  <c r="Q187" i="1" s="1"/>
  <c r="O219" i="1"/>
  <c r="Q219" i="1" s="1"/>
  <c r="O171" i="1"/>
  <c r="Q171" i="1" s="1"/>
  <c r="O211" i="1"/>
  <c r="Q211" i="1" s="1"/>
  <c r="O147" i="1"/>
  <c r="Q147" i="1" s="1"/>
  <c r="O83" i="1"/>
  <c r="Q83" i="1" s="1"/>
  <c r="O75" i="1"/>
  <c r="Q75" i="1" s="1"/>
  <c r="O123" i="1"/>
  <c r="Q123" i="1" s="1"/>
  <c r="O203" i="1"/>
  <c r="Q203" i="1" s="1"/>
  <c r="O139" i="1"/>
  <c r="Q139" i="1" s="1"/>
  <c r="O19" i="1"/>
  <c r="Q19" i="1" s="1"/>
  <c r="O11" i="1"/>
  <c r="Q11" i="1" s="1"/>
</calcChain>
</file>

<file path=xl/sharedStrings.xml><?xml version="1.0" encoding="utf-8"?>
<sst xmlns="http://schemas.openxmlformats.org/spreadsheetml/2006/main" count="37" uniqueCount="34">
  <si>
    <t>DSA_Level</t>
  </si>
  <si>
    <t>Backend_Level</t>
  </si>
  <si>
    <t>Frontend_Level</t>
  </si>
  <si>
    <t>Database_Level</t>
  </si>
  <si>
    <t>AI_Level</t>
  </si>
  <si>
    <t>Projects_Completed</t>
  </si>
  <si>
    <t>Problems_Solved</t>
  </si>
  <si>
    <t>Hackathons</t>
  </si>
  <si>
    <t>Readiness_Score</t>
  </si>
  <si>
    <t xml:space="preserve">       (output)Skill Average</t>
  </si>
  <si>
    <t xml:space="preserve">     Skill Score %</t>
  </si>
  <si>
    <t>Coding Score (M2)</t>
  </si>
  <si>
    <t>Practical Score</t>
  </si>
  <si>
    <t>Final Readiness Score</t>
  </si>
  <si>
    <t>Placement Status</t>
  </si>
  <si>
    <t>Sum of DSA_Level</t>
  </si>
  <si>
    <t>Sum of Backend_Level</t>
  </si>
  <si>
    <t>Sum of Frontend_Level</t>
  </si>
  <si>
    <t>Sum of Database_Level</t>
  </si>
  <si>
    <t>Sum of AI_Level</t>
  </si>
  <si>
    <t>Row Labels</t>
  </si>
  <si>
    <t>Needs Improvement</t>
  </si>
  <si>
    <t>Not Ready</t>
  </si>
  <si>
    <t>Placement Ready</t>
  </si>
  <si>
    <t>Grand Total</t>
  </si>
  <si>
    <t>Readiness Level</t>
  </si>
  <si>
    <t>Count of Student_ID</t>
  </si>
  <si>
    <t>High</t>
  </si>
  <si>
    <t>Total Students</t>
  </si>
  <si>
    <t>Average Skill %</t>
  </si>
  <si>
    <t>Average Readiness Score</t>
  </si>
  <si>
    <t>Placement Rate</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</si>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</sst>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Skill Tracker.xlsx]Pivot Skill Levels!PivotTable1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02166863196552E-2"/>
          <c:y val="0.16743449017796189"/>
          <c:w val="0.57595538057742779"/>
          <c:h val="0.75010279965004378"/>
        </c:manualLayout>
      </c:layout>
      <c:barChart>
        <c:barDir val="col"/>
        <c:grouping val="clustered"/>
        <c:varyColors val="0"/>
        <c:ser>
          <c:idx val="0"/>
          <c:order val="0"/>
          <c:tx>
            <c:strRef>
              <c:f>'Pivot Skill Levels'!$A$3</c:f>
              <c:strCache>
                <c:ptCount val="1"/>
                <c:pt idx="0">
                  <c:v>Sum of DSA_Level</c:v>
                </c:pt>
              </c:strCache>
            </c:strRef>
          </c:tx>
          <c:spPr>
            <a:solidFill>
              <a:schemeClr val="accent1"/>
            </a:solidFill>
            <a:ln>
              <a:noFill/>
            </a:ln>
            <a:effectLst/>
          </c:spPr>
          <c:invertIfNegative val="0"/>
          <c:cat>
            <c:strRef>
              <c:f>'Pivot Skill Levels'!$A$4</c:f>
              <c:strCache>
                <c:ptCount val="1"/>
                <c:pt idx="0">
                  <c:v>Total</c:v>
                </c:pt>
              </c:strCache>
            </c:strRef>
          </c:cat>
          <c:val>
            <c:numRef>
              <c:f>'Pivot Skill Levels'!$A$4</c:f>
              <c:numCache>
                <c:formatCode>General</c:formatCode>
                <c:ptCount val="1"/>
                <c:pt idx="0">
                  <c:v>5531</c:v>
                </c:pt>
              </c:numCache>
            </c:numRef>
          </c:val>
          <c:extLst>
            <c:ext xmlns:c16="http://schemas.microsoft.com/office/drawing/2014/chart" uri="{C3380CC4-5D6E-409C-BE32-E72D297353CC}">
              <c16:uniqueId val="{00000000-BBE2-4069-A1D1-50175D31D1F5}"/>
            </c:ext>
          </c:extLst>
        </c:ser>
        <c:ser>
          <c:idx val="1"/>
          <c:order val="1"/>
          <c:tx>
            <c:strRef>
              <c:f>'Pivot Skill Levels'!$B$3</c:f>
              <c:strCache>
                <c:ptCount val="1"/>
                <c:pt idx="0">
                  <c:v>Sum of Backend_Level</c:v>
                </c:pt>
              </c:strCache>
            </c:strRef>
          </c:tx>
          <c:spPr>
            <a:solidFill>
              <a:schemeClr val="accent2"/>
            </a:solidFill>
            <a:ln>
              <a:noFill/>
            </a:ln>
            <a:effectLst/>
          </c:spPr>
          <c:invertIfNegative val="0"/>
          <c:cat>
            <c:strRef>
              <c:f>'Pivot Skill Levels'!$A$4</c:f>
              <c:strCache>
                <c:ptCount val="1"/>
                <c:pt idx="0">
                  <c:v>Total</c:v>
                </c:pt>
              </c:strCache>
            </c:strRef>
          </c:cat>
          <c:val>
            <c:numRef>
              <c:f>'Pivot Skill Levels'!$B$4</c:f>
              <c:numCache>
                <c:formatCode>General</c:formatCode>
                <c:ptCount val="1"/>
                <c:pt idx="0">
                  <c:v>5621</c:v>
                </c:pt>
              </c:numCache>
            </c:numRef>
          </c:val>
          <c:extLst>
            <c:ext xmlns:c16="http://schemas.microsoft.com/office/drawing/2014/chart" uri="{C3380CC4-5D6E-409C-BE32-E72D297353CC}">
              <c16:uniqueId val="{00000001-BBE2-4069-A1D1-50175D31D1F5}"/>
            </c:ext>
          </c:extLst>
        </c:ser>
        <c:ser>
          <c:idx val="2"/>
          <c:order val="2"/>
          <c:tx>
            <c:strRef>
              <c:f>'Pivot Skill Levels'!$C$3</c:f>
              <c:strCache>
                <c:ptCount val="1"/>
                <c:pt idx="0">
                  <c:v>Sum of Frontend_Level</c:v>
                </c:pt>
              </c:strCache>
            </c:strRef>
          </c:tx>
          <c:spPr>
            <a:solidFill>
              <a:schemeClr val="accent3"/>
            </a:solidFill>
            <a:ln>
              <a:noFill/>
            </a:ln>
            <a:effectLst/>
          </c:spPr>
          <c:invertIfNegative val="0"/>
          <c:cat>
            <c:strRef>
              <c:f>'Pivot Skill Levels'!$A$4</c:f>
              <c:strCache>
                <c:ptCount val="1"/>
                <c:pt idx="0">
                  <c:v>Total</c:v>
                </c:pt>
              </c:strCache>
            </c:strRef>
          </c:cat>
          <c:val>
            <c:numRef>
              <c:f>'Pivot Skill Levels'!$C$4</c:f>
              <c:numCache>
                <c:formatCode>General</c:formatCode>
                <c:ptCount val="1"/>
                <c:pt idx="0">
                  <c:v>5555</c:v>
                </c:pt>
              </c:numCache>
            </c:numRef>
          </c:val>
          <c:extLst>
            <c:ext xmlns:c16="http://schemas.microsoft.com/office/drawing/2014/chart" uri="{C3380CC4-5D6E-409C-BE32-E72D297353CC}">
              <c16:uniqueId val="{00000002-BBE2-4069-A1D1-50175D31D1F5}"/>
            </c:ext>
          </c:extLst>
        </c:ser>
        <c:ser>
          <c:idx val="3"/>
          <c:order val="3"/>
          <c:tx>
            <c:strRef>
              <c:f>'Pivot Skill Levels'!$D$3</c:f>
              <c:strCache>
                <c:ptCount val="1"/>
                <c:pt idx="0">
                  <c:v>Sum of Database_Level</c:v>
                </c:pt>
              </c:strCache>
            </c:strRef>
          </c:tx>
          <c:spPr>
            <a:solidFill>
              <a:schemeClr val="accent4"/>
            </a:solidFill>
            <a:ln>
              <a:noFill/>
            </a:ln>
            <a:effectLst/>
          </c:spPr>
          <c:invertIfNegative val="0"/>
          <c:cat>
            <c:strRef>
              <c:f>'Pivot Skill Levels'!$A$4</c:f>
              <c:strCache>
                <c:ptCount val="1"/>
                <c:pt idx="0">
                  <c:v>Total</c:v>
                </c:pt>
              </c:strCache>
            </c:strRef>
          </c:cat>
          <c:val>
            <c:numRef>
              <c:f>'Pivot Skill Levels'!$D$4</c:f>
              <c:numCache>
                <c:formatCode>General</c:formatCode>
                <c:ptCount val="1"/>
                <c:pt idx="0">
                  <c:v>5445</c:v>
                </c:pt>
              </c:numCache>
            </c:numRef>
          </c:val>
          <c:extLst>
            <c:ext xmlns:c16="http://schemas.microsoft.com/office/drawing/2014/chart" uri="{C3380CC4-5D6E-409C-BE32-E72D297353CC}">
              <c16:uniqueId val="{00000003-BBE2-4069-A1D1-50175D31D1F5}"/>
            </c:ext>
          </c:extLst>
        </c:ser>
        <c:ser>
          <c:idx val="4"/>
          <c:order val="4"/>
          <c:tx>
            <c:strRef>
              <c:f>'Pivot Skill Levels'!$E$3</c:f>
              <c:strCache>
                <c:ptCount val="1"/>
                <c:pt idx="0">
                  <c:v>Sum of AI_Level</c:v>
                </c:pt>
              </c:strCache>
            </c:strRef>
          </c:tx>
          <c:spPr>
            <a:solidFill>
              <a:schemeClr val="accent5"/>
            </a:solidFill>
            <a:ln>
              <a:noFill/>
            </a:ln>
            <a:effectLst/>
          </c:spPr>
          <c:invertIfNegative val="0"/>
          <c:cat>
            <c:strRef>
              <c:f>'Pivot Skill Levels'!$A$4</c:f>
              <c:strCache>
                <c:ptCount val="1"/>
                <c:pt idx="0">
                  <c:v>Total</c:v>
                </c:pt>
              </c:strCache>
            </c:strRef>
          </c:cat>
          <c:val>
            <c:numRef>
              <c:f>'Pivot Skill Levels'!$E$4</c:f>
              <c:numCache>
                <c:formatCode>General</c:formatCode>
                <c:ptCount val="1"/>
                <c:pt idx="0">
                  <c:v>5410</c:v>
                </c:pt>
              </c:numCache>
            </c:numRef>
          </c:val>
          <c:extLst>
            <c:ext xmlns:c16="http://schemas.microsoft.com/office/drawing/2014/chart" uri="{C3380CC4-5D6E-409C-BE32-E72D297353CC}">
              <c16:uniqueId val="{00000004-BBE2-4069-A1D1-50175D31D1F5}"/>
            </c:ext>
          </c:extLst>
        </c:ser>
        <c:dLbls>
          <c:showLegendKey val="0"/>
          <c:showVal val="0"/>
          <c:showCatName val="0"/>
          <c:showSerName val="0"/>
          <c:showPercent val="0"/>
          <c:showBubbleSize val="0"/>
        </c:dLbls>
        <c:gapWidth val="219"/>
        <c:overlap val="-27"/>
        <c:axId val="157193711"/>
        <c:axId val="157190831"/>
      </c:barChart>
      <c:catAx>
        <c:axId val="15719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0831"/>
        <c:crosses val="autoZero"/>
        <c:auto val="1"/>
        <c:lblAlgn val="ctr"/>
        <c:lblOffset val="100"/>
        <c:noMultiLvlLbl val="0"/>
      </c:catAx>
      <c:valAx>
        <c:axId val="1571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Skill Tracker.xlsx]placement of std!PivotTable6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'placement of std'!$B$3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CC3-4054-8725-7E0D4C8E9127}"/>
              </c:ext>
            </c:extLst>
          </c:dPt>
          <c:dPt>
            <c:idx val="1"/>
            <c:bubble3D val="0"/>
            <c:spPr>
              <a:solidFill>
                <a:schemeClr val="accent2"/>
              </a:solidFill>
              <a:ln>
                <a:noFill/>
              </a:ln>
              <a:effectLst/>
            </c:spPr>
            <c:extLst>
              <c:ext xmlns:c16="http://schemas.microsoft.com/office/drawing/2014/chart" uri="{C3380CC4-5D6E-409C-BE32-E72D297353CC}">
                <c16:uniqueId val="{00000003-5CC3-4054-8725-7E0D4C8E9127}"/>
              </c:ext>
            </c:extLst>
          </c:dPt>
          <c:dPt>
            <c:idx val="2"/>
            <c:bubble3D val="0"/>
            <c:spPr>
              <a:solidFill>
                <a:schemeClr val="accent3"/>
              </a:solidFill>
              <a:ln>
                <a:noFill/>
              </a:ln>
              <a:effectLst/>
            </c:spPr>
            <c:extLst>
              <c:ext xmlns:c16="http://schemas.microsoft.com/office/drawing/2014/chart" uri="{C3380CC4-5D6E-409C-BE32-E72D297353CC}">
                <c16:uniqueId val="{00000005-5CC3-4054-8725-7E0D4C8E9127}"/>
              </c:ext>
            </c:extLst>
          </c:dPt>
          <c:cat>
            <c:strRef>
              <c:f>'placement of std'!$A$4:$A$7</c:f>
              <c:strCache>
                <c:ptCount val="3"/>
                <c:pt idx="0">
                  <c:v>Needs Improvement</c:v>
                </c:pt>
                <c:pt idx="1">
                  <c:v>Not Ready</c:v>
                </c:pt>
                <c:pt idx="2">
                  <c:v>Placement Ready</c:v>
                </c:pt>
              </c:strCache>
            </c:strRef>
          </c:cat>
          <c:val>
            <c:numRef>
              <c:f>'placement of std'!$B$4:$B$7</c:f>
              <c:numCache>
                <c:formatCode>General</c:formatCode>
                <c:ptCount val="3"/>
                <c:pt idx="0">
                  <c:v>442</c:v>
                </c:pt>
                <c:pt idx="1">
                  <c:v>179</c:v>
                </c:pt>
                <c:pt idx="2">
                  <c:v>379</c:v>
                </c:pt>
              </c:numCache>
            </c:numRef>
          </c:val>
          <c:extLst>
            <c:ext xmlns:c16="http://schemas.microsoft.com/office/drawing/2014/chart" uri="{C3380CC4-5D6E-409C-BE32-E72D297353CC}">
              <c16:uniqueId val="{00000006-5CC3-4054-8725-7E0D4C8E91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Skill Tracker.xlsx]Pivot_Readiness!PivotTable8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Pivot_Readiness!$B$3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A8-4DBC-8825-62257739E4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C8-4BEB-89AB-0C86203CA5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C8-4BEB-89AB-0C86203CA560}"/>
              </c:ext>
            </c:extLst>
          </c:dPt>
          <c:cat>
            <c:strRef>
              <c:f>Pivot_Readiness!$A$4:$A$7</c:f>
              <c:strCache>
                <c:ptCount val="3"/>
                <c:pt idx="0">
                  <c:v>High</c:v>
                </c:pt>
                <c:pt idx="1">
                  <c:v>Low</c:v>
                </c:pt>
                <c:pt idx="2">
                  <c:v>Medium</c:v>
                </c:pt>
              </c:strCache>
            </c:strRef>
          </c:cat>
          <c:val>
            <c:numRef>
              <c:f>Pivot_Readiness!$B$4:$B$7</c:f>
              <c:numCache>
                <c:formatCode>General</c:formatCode>
                <c:ptCount val="3"/>
                <c:pt idx="0">
                  <c:v>108</c:v>
                </c:pt>
                <c:pt idx="1">
                  <c:v>42</c:v>
                </c:pt>
                <c:pt idx="2">
                  <c:v>850</c:v>
                </c:pt>
              </c:numCache>
            </c:numRef>
          </c:val>
          <c:extLst>
            <c:ext xmlns:c16="http://schemas.microsoft.com/office/drawing/2014/chart" uri="{C3380CC4-5D6E-409C-BE32-E72D297353CC}">
              <c16:uniqueId val="{00000002-90A8-4DBC-8825-62257739E4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5</xdr:row>
      <xdr:rowOff>175260</xdr:rowOff>
    </xdr:from>
    <xdr:to>
      <xdr:col>2</xdr:col>
      <xdr:colOff>236220</xdr:colOff>
      <xdr:row>19</xdr:row>
      <xdr:rowOff>81915</xdr:rowOff>
    </xdr:to>
    <mc:AlternateContent xmlns:mc="http://schemas.openxmlformats.org/markup-compatibility/2006" xmlns:a14="http://schemas.microsoft.com/office/drawing/2010/main">
      <mc:Choice Requires="a14">
        <xdr:graphicFrame macro="">
          <xdr:nvGraphicFramePr>
            <xdr:cNvPr id="3" name="Student_ID">
              <a:extLst>
                <a:ext uri="{FF2B5EF4-FFF2-40B4-BE49-F238E27FC236}">
                  <a16:creationId xmlns:a16="http://schemas.microsoft.com/office/drawing/2014/main" id="{49415812-2AAA-4967-18E2-C7EF00624FC4}"/>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53340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441960</xdr:colOff>
      <xdr:row>6</xdr:row>
      <xdr:rowOff>30480</xdr:rowOff>
    </xdr:from>
    <xdr:to>
      <xdr:col>4</xdr:col>
      <xdr:colOff>396240</xdr:colOff>
      <xdr:row>19</xdr:row>
      <xdr:rowOff>120015</xdr:rowOff>
    </xdr:to>
    <mc:AlternateContent xmlns:mc="http://schemas.openxmlformats.org/markup-compatibility/2006" xmlns:a14="http://schemas.microsoft.com/office/drawing/2010/main">
      <mc:Choice Requires="a14">
        <xdr:graphicFrame macro="">
          <xdr:nvGraphicFramePr>
            <xdr:cNvPr id="4" name="Placement Status">
              <a:extLst>
                <a:ext uri="{FF2B5EF4-FFF2-40B4-BE49-F238E27FC236}">
                  <a16:creationId xmlns:a16="http://schemas.microsoft.com/office/drawing/2014/main" id="{0BB3E29F-25F2-3185-2096-BE12C82E0943}"/>
                </a:ext>
              </a:extLst>
            </xdr:cNvPr>
            <xdr:cNvGraphicFramePr/>
          </xdr:nvGraphicFramePr>
          <xdr:xfrm>
            <a:off x="0" y="0"/>
            <a:ext cx="0" cy="0"/>
          </xdr:xfrm>
          <a:graphic>
            <a:graphicData uri="http://schemas.microsoft.com/office/drawing/2010/slicer">
              <sle:slicer xmlns:sle="http://schemas.microsoft.com/office/drawing/2010/slicer" name="Placement Status"/>
            </a:graphicData>
          </a:graphic>
        </xdr:graphicFrame>
      </mc:Choice>
      <mc:Fallback xmlns="">
        <xdr:sp macro="" textlink="">
          <xdr:nvSpPr>
            <xdr:cNvPr id="0" name=""/>
            <xdr:cNvSpPr>
              <a:spLocks noTextEdit="1"/>
            </xdr:cNvSpPr>
          </xdr:nvSpPr>
          <xdr:spPr>
            <a:xfrm>
              <a:off x="2567940" y="112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6</xdr:row>
      <xdr:rowOff>22860</xdr:rowOff>
    </xdr:from>
    <xdr:to>
      <xdr:col>8</xdr:col>
      <xdr:colOff>76200</xdr:colOff>
      <xdr:row>19</xdr:row>
      <xdr:rowOff>112395</xdr:rowOff>
    </xdr:to>
    <mc:AlternateContent xmlns:mc="http://schemas.openxmlformats.org/markup-compatibility/2006" xmlns:a14="http://schemas.microsoft.com/office/drawing/2010/main">
      <mc:Choice Requires="a14">
        <xdr:graphicFrame macro="">
          <xdr:nvGraphicFramePr>
            <xdr:cNvPr id="5" name="Readiness Level">
              <a:extLst>
                <a:ext uri="{FF2B5EF4-FFF2-40B4-BE49-F238E27FC236}">
                  <a16:creationId xmlns:a16="http://schemas.microsoft.com/office/drawing/2014/main" id="{1D186E9C-EA57-8C9F-DBC3-DCA54D9D5EBB}"/>
                </a:ext>
              </a:extLst>
            </xdr:cNvPr>
            <xdr:cNvGraphicFramePr/>
          </xdr:nvGraphicFramePr>
          <xdr:xfrm>
            <a:off x="0" y="0"/>
            <a:ext cx="0" cy="0"/>
          </xdr:xfrm>
          <a:graphic>
            <a:graphicData uri="http://schemas.microsoft.com/office/drawing/2010/slicer">
              <sle:slicer xmlns:sle="http://schemas.microsoft.com/office/drawing/2010/slicer" name="Readiness Level"/>
            </a:graphicData>
          </a:graphic>
        </xdr:graphicFrame>
      </mc:Choice>
      <mc:Fallback xmlns="">
        <xdr:sp macro="" textlink="">
          <xdr:nvSpPr>
            <xdr:cNvPr id="0" name=""/>
            <xdr:cNvSpPr>
              <a:spLocks noTextEdit="1"/>
            </xdr:cNvSpPr>
          </xdr:nvSpPr>
          <xdr:spPr>
            <a:xfrm>
              <a:off x="468630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177454</xdr:colOff>
      <xdr:row>5</xdr:row>
      <xdr:rowOff>81102</xdr:rowOff>
    </xdr:from>
    <xdr:to>
      <xdr:col>5</xdr:col>
      <xdr:colOff>1482249</xdr:colOff>
      <xdr:row>20</xdr:row>
      <xdr:rowOff>81102</xdr:rowOff>
    </xdr:to>
    <xdr:graphicFrame macro="">
      <xdr:nvGraphicFramePr>
        <xdr:cNvPr id="2" name="Chart 1">
          <a:extLst>
            <a:ext uri="{FF2B5EF4-FFF2-40B4-BE49-F238E27FC236}">
              <a16:creationId xmlns:a16="http://schemas.microsoft.com/office/drawing/2014/main" id="{424ADE3D-6418-4861-BDB1-03CC143F5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536346</xdr:colOff>
      <xdr:row>22</xdr:row>
      <xdr:rowOff>177947</xdr:rowOff>
    </xdr:from>
    <xdr:to>
      <xdr:col>3</xdr:col>
      <xdr:colOff>1686652</xdr:colOff>
      <xdr:row>37</xdr:row>
      <xdr:rowOff>177947</xdr:rowOff>
    </xdr:to>
    <xdr:graphicFrame macro="">
      <xdr:nvGraphicFramePr>
        <xdr:cNvPr id="3" name="Chart 2">
          <a:extLst>
            <a:ext uri="{FF2B5EF4-FFF2-40B4-BE49-F238E27FC236}">
              <a16:creationId xmlns:a16="http://schemas.microsoft.com/office/drawing/2014/main" id="{58482CF6-AD41-472D-82AE-C77FAAF5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678493</xdr:colOff>
      <xdr:row>24</xdr:row>
      <xdr:rowOff>83507</xdr:rowOff>
    </xdr:from>
    <xdr:to>
      <xdr:col>5</xdr:col>
      <xdr:colOff>1993727</xdr:colOff>
      <xdr:row>34</xdr:row>
      <xdr:rowOff>135698</xdr:rowOff>
    </xdr:to>
    <xdr:graphicFrame macro="">
      <xdr:nvGraphicFramePr>
        <xdr:cNvPr id="5" name="Chart 4">
          <a:extLst>
            <a:ext uri="{FF2B5EF4-FFF2-40B4-BE49-F238E27FC236}">
              <a16:creationId xmlns:a16="http://schemas.microsoft.com/office/drawing/2014/main" id="{5D5B60EA-A3E1-4282-9C8F-B5134E25A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tham vaishnav" refreshedDate="46018.740214814818" createdVersion="8" refreshedVersion="8" minRefreshableVersion="3" recordCount="1001" xr:uid="{AD2CCC24-44D4-4802-8F87-4B2CDCA3A66C}">
  <cacheSource type="worksheet">
    <worksheetSource ref="B1:F1048576" sheet="Student_Skill_Data"/>
  </cacheSource>
  <cacheFields count="5">
    <cacheField name="DSA_Level" numFmtId="0">
      <sharedItems containsString="0" containsBlank="1" containsNumber="1" containsInteger="1" minValue="1" maxValue="10"/>
    </cacheField>
    <cacheField name="Backend_Level" numFmtId="0">
      <sharedItems containsString="0" containsBlank="1" containsNumber="1" containsInteger="1" minValue="1" maxValue="10"/>
    </cacheField>
    <cacheField name="Frontend_Level" numFmtId="0">
      <sharedItems containsString="0" containsBlank="1" containsNumber="1" containsInteger="1" minValue="1" maxValue="10"/>
    </cacheField>
    <cacheField name="Database_Level" numFmtId="0">
      <sharedItems containsString="0" containsBlank="1" containsNumber="1" containsInteger="1" minValue="1" maxValue="10"/>
    </cacheField>
    <cacheField name="AI_Level"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tham vaishnav" refreshedDate="46018.762394328704" createdVersion="8" refreshedVersion="8" minRefreshableVersion="3" recordCount="1000" xr:uid="{AF1FE5F1-4464-42B4-9F9F-ABC2E6314DF3}">
  <cacheSource type="worksheet">
    <worksheetSource ref="A1:Q1001" sheet="Student_Skill_Data"/>
  </cacheSource>
  <cacheFields count="17">
    <cacheField name="Student_ID" numFmtId="0">
      <sharedItems containsSemiMixedTypes="0" containsString="0" containsNumber="1" containsInteger="1" minValue="1001" maxValue="2000" count="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DSA_Level" numFmtId="0">
      <sharedItems containsSemiMixedTypes="0" containsString="0" containsNumber="1" containsInteger="1" minValue="1" maxValue="10"/>
    </cacheField>
    <cacheField name="Backend_Level" numFmtId="0">
      <sharedItems containsSemiMixedTypes="0" containsString="0" containsNumber="1" containsInteger="1" minValue="1" maxValue="10"/>
    </cacheField>
    <cacheField name="Frontend_Level" numFmtId="0">
      <sharedItems containsSemiMixedTypes="0" containsString="0" containsNumber="1" containsInteger="1" minValue="1" maxValue="10"/>
    </cacheField>
    <cacheField name="Database_Level" numFmtId="0">
      <sharedItems containsSemiMixedTypes="0" containsString="0" containsNumber="1" containsInteger="1" minValue="1" maxValue="10"/>
    </cacheField>
    <cacheField name="AI_Level" numFmtId="0">
      <sharedItems containsSemiMixedTypes="0" containsString="0" containsNumber="1" containsInteger="1" minValue="1" maxValue="10"/>
    </cacheField>
    <cacheField name="Projects_Completed" numFmtId="0">
      <sharedItems containsSemiMixedTypes="0" containsString="0" containsNumber="1" containsInteger="1" minValue="0" maxValue="8"/>
    </cacheField>
    <cacheField name="Problems_Solved" numFmtId="0">
      <sharedItems containsSemiMixedTypes="0" containsString="0" containsNumber="1" containsInteger="1" minValue="51" maxValue="500"/>
    </cacheField>
    <cacheField name="Hackathons" numFmtId="0">
      <sharedItems containsSemiMixedTypes="0" containsString="0" containsNumber="1" containsInteger="1" minValue="0" maxValue="5"/>
    </cacheField>
    <cacheField name="Readiness_Score" numFmtId="0">
      <sharedItems containsSemiMixedTypes="0" containsString="0" containsNumber="1" containsInteger="1" minValue="40" maxValue="95"/>
    </cacheField>
    <cacheField name="       (output)Skill Average" numFmtId="0">
      <sharedItems containsSemiMixedTypes="0" containsString="0" containsNumber="1" minValue="1.2" maxValue="10"/>
    </cacheField>
    <cacheField name="     Skill Score %" numFmtId="0">
      <sharedItems containsSemiMixedTypes="0" containsString="0" containsNumber="1" containsInteger="1" minValue="12" maxValue="100"/>
    </cacheField>
    <cacheField name="Coding Score (M2)" numFmtId="0">
      <sharedItems containsSemiMixedTypes="0" containsString="0" containsNumber="1" containsInteger="1" minValue="40" maxValue="100"/>
    </cacheField>
    <cacheField name="Practical Score" numFmtId="0">
      <sharedItems containsSemiMixedTypes="0" containsString="0" containsNumber="1" containsInteger="1" minValue="0" maxValue="90"/>
    </cacheField>
    <cacheField name="Final Readiness Score" numFmtId="0">
      <sharedItems containsSemiMixedTypes="0" containsString="0" containsNumber="1" containsInteger="1" minValue="23" maxValue="91"/>
    </cacheField>
    <cacheField name="Placement Status" numFmtId="0">
      <sharedItems count="3">
        <s v="Needs Improvement"/>
        <s v="Not Ready"/>
        <s v="Placement Ready"/>
      </sharedItems>
    </cacheField>
    <cacheField name="Readiness Level" numFmtId="0">
      <sharedItems count="3">
        <s v="Medium"/>
        <s v="High"/>
        <s v="Low"/>
      </sharedItems>
    </cacheField>
  </cacheFields>
  <extLst>
    <ext xmlns:x14="http://schemas.microsoft.com/office/spreadsheetml/2009/9/main" uri="{725AE2AE-9491-48be-B2B4-4EB974FC3084}">
      <x14:pivotCacheDefinition pivotCacheId="1434538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n v="9"/>
    <n v="8"/>
    <n v="8"/>
    <n v="1"/>
  </r>
  <r>
    <n v="9"/>
    <n v="8"/>
    <n v="5"/>
    <n v="9"/>
    <n v="5"/>
  </r>
  <r>
    <n v="8"/>
    <n v="4"/>
    <n v="6"/>
    <n v="6"/>
    <n v="2"/>
  </r>
  <r>
    <n v="2"/>
    <n v="6"/>
    <n v="8"/>
    <n v="4"/>
    <n v="2"/>
  </r>
  <r>
    <n v="4"/>
    <n v="1"/>
    <n v="8"/>
    <n v="2"/>
    <n v="10"/>
  </r>
  <r>
    <n v="5"/>
    <n v="7"/>
    <n v="5"/>
    <n v="1"/>
    <n v="8"/>
  </r>
  <r>
    <n v="7"/>
    <n v="7"/>
    <n v="6"/>
    <n v="8"/>
    <n v="4"/>
  </r>
  <r>
    <n v="10"/>
    <n v="6"/>
    <n v="6"/>
    <n v="9"/>
    <n v="2"/>
  </r>
  <r>
    <n v="3"/>
    <n v="1"/>
    <n v="8"/>
    <n v="1"/>
    <n v="4"/>
  </r>
  <r>
    <n v="8"/>
    <n v="7"/>
    <n v="3"/>
    <n v="8"/>
    <n v="9"/>
  </r>
  <r>
    <n v="4"/>
    <n v="6"/>
    <n v="3"/>
    <n v="10"/>
    <n v="8"/>
  </r>
  <r>
    <n v="2"/>
    <n v="9"/>
    <n v="5"/>
    <n v="5"/>
    <n v="8"/>
  </r>
  <r>
    <n v="10"/>
    <n v="1"/>
    <n v="6"/>
    <n v="8"/>
    <n v="8"/>
  </r>
  <r>
    <n v="3"/>
    <n v="3"/>
    <n v="8"/>
    <n v="5"/>
    <n v="1"/>
  </r>
  <r>
    <n v="6"/>
    <n v="5"/>
    <n v="2"/>
    <n v="4"/>
    <n v="7"/>
  </r>
  <r>
    <n v="2"/>
    <n v="5"/>
    <n v="8"/>
    <n v="1"/>
    <n v="7"/>
  </r>
  <r>
    <n v="6"/>
    <n v="10"/>
    <n v="2"/>
    <n v="7"/>
    <n v="3"/>
  </r>
  <r>
    <n v="7"/>
    <n v="9"/>
    <n v="4"/>
    <n v="7"/>
    <n v="1"/>
  </r>
  <r>
    <n v="5"/>
    <n v="6"/>
    <n v="4"/>
    <n v="5"/>
    <n v="4"/>
  </r>
  <r>
    <n v="1"/>
    <n v="3"/>
    <n v="6"/>
    <n v="8"/>
    <n v="3"/>
  </r>
  <r>
    <n v="1"/>
    <n v="1"/>
    <n v="7"/>
    <n v="3"/>
    <n v="8"/>
  </r>
  <r>
    <n v="4"/>
    <n v="5"/>
    <n v="1"/>
    <n v="5"/>
    <n v="10"/>
  </r>
  <r>
    <n v="8"/>
    <n v="9"/>
    <n v="10"/>
    <n v="1"/>
    <n v="9"/>
  </r>
  <r>
    <n v="9"/>
    <n v="8"/>
    <n v="4"/>
    <n v="3"/>
    <n v="9"/>
  </r>
  <r>
    <n v="3"/>
    <n v="5"/>
    <n v="7"/>
    <n v="6"/>
    <n v="10"/>
  </r>
  <r>
    <n v="1"/>
    <n v="10"/>
    <n v="1"/>
    <n v="8"/>
    <n v="5"/>
  </r>
  <r>
    <n v="8"/>
    <n v="4"/>
    <n v="4"/>
    <n v="5"/>
    <n v="5"/>
  </r>
  <r>
    <n v="10"/>
    <n v="9"/>
    <n v="1"/>
    <n v="1"/>
    <n v="6"/>
  </r>
  <r>
    <n v="10"/>
    <n v="4"/>
    <n v="10"/>
    <n v="1"/>
    <n v="1"/>
  </r>
  <r>
    <n v="4"/>
    <n v="7"/>
    <n v="7"/>
    <n v="6"/>
    <n v="9"/>
  </r>
  <r>
    <n v="7"/>
    <n v="3"/>
    <n v="10"/>
    <n v="8"/>
    <n v="9"/>
  </r>
  <r>
    <n v="10"/>
    <n v="7"/>
    <n v="4"/>
    <n v="6"/>
    <n v="3"/>
  </r>
  <r>
    <n v="10"/>
    <n v="5"/>
    <n v="4"/>
    <n v="9"/>
    <n v="9"/>
  </r>
  <r>
    <n v="9"/>
    <n v="7"/>
    <n v="3"/>
    <n v="7"/>
    <n v="5"/>
  </r>
  <r>
    <n v="4"/>
    <n v="1"/>
    <n v="4"/>
    <n v="1"/>
    <n v="2"/>
  </r>
  <r>
    <n v="2"/>
    <n v="6"/>
    <n v="6"/>
    <n v="3"/>
    <n v="7"/>
  </r>
  <r>
    <n v="3"/>
    <n v="1"/>
    <n v="8"/>
    <n v="2"/>
    <n v="10"/>
  </r>
  <r>
    <n v="5"/>
    <n v="2"/>
    <n v="8"/>
    <n v="10"/>
    <n v="9"/>
  </r>
  <r>
    <n v="3"/>
    <n v="1"/>
    <n v="2"/>
    <n v="3"/>
    <n v="6"/>
  </r>
  <r>
    <n v="5"/>
    <n v="6"/>
    <n v="2"/>
    <n v="8"/>
    <n v="1"/>
  </r>
  <r>
    <n v="8"/>
    <n v="5"/>
    <n v="5"/>
    <n v="9"/>
    <n v="7"/>
  </r>
  <r>
    <n v="3"/>
    <n v="4"/>
    <n v="8"/>
    <n v="4"/>
    <n v="5"/>
  </r>
  <r>
    <n v="6"/>
    <n v="2"/>
    <n v="1"/>
    <n v="8"/>
    <n v="4"/>
  </r>
  <r>
    <n v="3"/>
    <n v="10"/>
    <n v="6"/>
    <n v="6"/>
    <n v="9"/>
  </r>
  <r>
    <n v="4"/>
    <n v="7"/>
    <n v="10"/>
    <n v="10"/>
    <n v="7"/>
  </r>
  <r>
    <n v="8"/>
    <n v="5"/>
    <n v="5"/>
    <n v="10"/>
    <n v="2"/>
  </r>
  <r>
    <n v="9"/>
    <n v="10"/>
    <n v="4"/>
    <n v="6"/>
    <n v="8"/>
  </r>
  <r>
    <n v="1"/>
    <n v="7"/>
    <n v="5"/>
    <n v="7"/>
    <n v="2"/>
  </r>
  <r>
    <n v="3"/>
    <n v="3"/>
    <n v="3"/>
    <n v="2"/>
    <n v="9"/>
  </r>
  <r>
    <n v="9"/>
    <n v="9"/>
    <n v="1"/>
    <n v="4"/>
    <n v="8"/>
  </r>
  <r>
    <n v="8"/>
    <n v="7"/>
    <n v="5"/>
    <n v="2"/>
    <n v="4"/>
  </r>
  <r>
    <n v="8"/>
    <n v="5"/>
    <n v="9"/>
    <n v="7"/>
    <n v="4"/>
  </r>
  <r>
    <n v="4"/>
    <n v="4"/>
    <n v="5"/>
    <n v="8"/>
    <n v="2"/>
  </r>
  <r>
    <n v="7"/>
    <n v="7"/>
    <n v="5"/>
    <n v="3"/>
    <n v="1"/>
  </r>
  <r>
    <n v="6"/>
    <n v="2"/>
    <n v="4"/>
    <n v="8"/>
    <n v="9"/>
  </r>
  <r>
    <n v="7"/>
    <n v="3"/>
    <n v="10"/>
    <n v="7"/>
    <n v="2"/>
  </r>
  <r>
    <n v="6"/>
    <n v="4"/>
    <n v="5"/>
    <n v="1"/>
    <n v="5"/>
  </r>
  <r>
    <n v="10"/>
    <n v="6"/>
    <n v="6"/>
    <n v="8"/>
    <n v="10"/>
  </r>
  <r>
    <n v="10"/>
    <n v="3"/>
    <n v="4"/>
    <n v="2"/>
    <n v="2"/>
  </r>
  <r>
    <n v="2"/>
    <n v="1"/>
    <n v="7"/>
    <n v="9"/>
    <n v="2"/>
  </r>
  <r>
    <n v="9"/>
    <n v="3"/>
    <n v="7"/>
    <n v="8"/>
    <n v="9"/>
  </r>
  <r>
    <n v="4"/>
    <n v="8"/>
    <n v="8"/>
    <n v="2"/>
    <n v="9"/>
  </r>
  <r>
    <n v="7"/>
    <n v="7"/>
    <n v="8"/>
    <n v="4"/>
    <n v="9"/>
  </r>
  <r>
    <n v="10"/>
    <n v="10"/>
    <n v="10"/>
    <n v="5"/>
    <n v="2"/>
  </r>
  <r>
    <n v="5"/>
    <n v="5"/>
    <n v="2"/>
    <n v="7"/>
    <n v="9"/>
  </r>
  <r>
    <n v="8"/>
    <n v="10"/>
    <n v="8"/>
    <n v="9"/>
    <n v="9"/>
  </r>
  <r>
    <n v="5"/>
    <n v="9"/>
    <n v="10"/>
    <n v="6"/>
    <n v="5"/>
  </r>
  <r>
    <n v="4"/>
    <n v="7"/>
    <n v="7"/>
    <n v="9"/>
    <n v="1"/>
  </r>
  <r>
    <n v="9"/>
    <n v="9"/>
    <n v="1"/>
    <n v="8"/>
    <n v="7"/>
  </r>
  <r>
    <n v="5"/>
    <n v="10"/>
    <n v="3"/>
    <n v="2"/>
    <n v="7"/>
  </r>
  <r>
    <n v="2"/>
    <n v="3"/>
    <n v="3"/>
    <n v="5"/>
    <n v="4"/>
  </r>
  <r>
    <n v="7"/>
    <n v="7"/>
    <n v="3"/>
    <n v="8"/>
    <n v="5"/>
  </r>
  <r>
    <n v="4"/>
    <n v="8"/>
    <n v="10"/>
    <n v="1"/>
    <n v="7"/>
  </r>
  <r>
    <n v="9"/>
    <n v="9"/>
    <n v="4"/>
    <n v="10"/>
    <n v="10"/>
  </r>
  <r>
    <n v="7"/>
    <n v="2"/>
    <n v="10"/>
    <n v="4"/>
    <n v="9"/>
  </r>
  <r>
    <n v="1"/>
    <n v="4"/>
    <n v="2"/>
    <n v="4"/>
    <n v="6"/>
  </r>
  <r>
    <n v="6"/>
    <n v="10"/>
    <n v="8"/>
    <n v="6"/>
    <n v="1"/>
  </r>
  <r>
    <n v="9"/>
    <n v="6"/>
    <n v="6"/>
    <n v="1"/>
    <n v="5"/>
  </r>
  <r>
    <n v="6"/>
    <n v="3"/>
    <n v="4"/>
    <n v="2"/>
    <n v="5"/>
  </r>
  <r>
    <n v="9"/>
    <n v="6"/>
    <n v="4"/>
    <n v="4"/>
    <n v="5"/>
  </r>
  <r>
    <n v="5"/>
    <n v="10"/>
    <n v="6"/>
    <n v="1"/>
    <n v="8"/>
  </r>
  <r>
    <n v="3"/>
    <n v="4"/>
    <n v="1"/>
    <n v="3"/>
    <n v="6"/>
  </r>
  <r>
    <n v="4"/>
    <n v="2"/>
    <n v="4"/>
    <n v="5"/>
    <n v="7"/>
  </r>
  <r>
    <n v="3"/>
    <n v="10"/>
    <n v="7"/>
    <n v="9"/>
    <n v="2"/>
  </r>
  <r>
    <n v="8"/>
    <n v="8"/>
    <n v="6"/>
    <n v="3"/>
    <n v="3"/>
  </r>
  <r>
    <n v="10"/>
    <n v="2"/>
    <n v="3"/>
    <n v="6"/>
    <n v="7"/>
  </r>
  <r>
    <n v="5"/>
    <n v="10"/>
    <n v="10"/>
    <n v="5"/>
    <n v="9"/>
  </r>
  <r>
    <n v="6"/>
    <n v="6"/>
    <n v="10"/>
    <n v="2"/>
    <n v="3"/>
  </r>
  <r>
    <n v="8"/>
    <n v="3"/>
    <n v="10"/>
    <n v="8"/>
    <n v="8"/>
  </r>
  <r>
    <n v="9"/>
    <n v="2"/>
    <n v="6"/>
    <n v="8"/>
    <n v="8"/>
  </r>
  <r>
    <n v="5"/>
    <n v="5"/>
    <n v="8"/>
    <n v="7"/>
    <n v="8"/>
  </r>
  <r>
    <n v="10"/>
    <n v="6"/>
    <n v="7"/>
    <n v="1"/>
    <n v="1"/>
  </r>
  <r>
    <n v="1"/>
    <n v="8"/>
    <n v="2"/>
    <n v="4"/>
    <n v="5"/>
  </r>
  <r>
    <n v="2"/>
    <n v="10"/>
    <n v="10"/>
    <n v="7"/>
    <n v="3"/>
  </r>
  <r>
    <n v="4"/>
    <n v="2"/>
    <n v="1"/>
    <n v="2"/>
    <n v="4"/>
  </r>
  <r>
    <n v="1"/>
    <n v="10"/>
    <n v="2"/>
    <n v="6"/>
    <n v="9"/>
  </r>
  <r>
    <n v="1"/>
    <n v="1"/>
    <n v="4"/>
    <n v="1"/>
    <n v="6"/>
  </r>
  <r>
    <n v="4"/>
    <n v="2"/>
    <n v="4"/>
    <n v="5"/>
    <n v="1"/>
  </r>
  <r>
    <n v="10"/>
    <n v="6"/>
    <n v="2"/>
    <n v="6"/>
    <n v="10"/>
  </r>
  <r>
    <n v="6"/>
    <n v="9"/>
    <n v="2"/>
    <n v="10"/>
    <n v="1"/>
  </r>
  <r>
    <n v="1"/>
    <n v="9"/>
    <n v="4"/>
    <n v="10"/>
    <n v="6"/>
  </r>
  <r>
    <n v="3"/>
    <n v="9"/>
    <n v="10"/>
    <n v="5"/>
    <n v="2"/>
  </r>
  <r>
    <n v="3"/>
    <n v="2"/>
    <n v="3"/>
    <n v="7"/>
    <n v="1"/>
  </r>
  <r>
    <n v="10"/>
    <n v="9"/>
    <n v="8"/>
    <n v="5"/>
    <n v="1"/>
  </r>
  <r>
    <n v="4"/>
    <n v="5"/>
    <n v="8"/>
    <n v="2"/>
    <n v="7"/>
  </r>
  <r>
    <n v="3"/>
    <n v="10"/>
    <n v="5"/>
    <n v="7"/>
    <n v="3"/>
  </r>
  <r>
    <n v="1"/>
    <n v="10"/>
    <n v="4"/>
    <n v="1"/>
    <n v="6"/>
  </r>
  <r>
    <n v="8"/>
    <n v="5"/>
    <n v="7"/>
    <n v="1"/>
    <n v="5"/>
  </r>
  <r>
    <n v="7"/>
    <n v="7"/>
    <n v="2"/>
    <n v="3"/>
    <n v="3"/>
  </r>
  <r>
    <n v="5"/>
    <n v="9"/>
    <n v="1"/>
    <n v="3"/>
    <n v="2"/>
  </r>
  <r>
    <n v="1"/>
    <n v="6"/>
    <n v="8"/>
    <n v="2"/>
    <n v="3"/>
  </r>
  <r>
    <n v="5"/>
    <n v="4"/>
    <n v="10"/>
    <n v="4"/>
    <n v="3"/>
  </r>
  <r>
    <n v="8"/>
    <n v="8"/>
    <n v="9"/>
    <n v="5"/>
    <n v="3"/>
  </r>
  <r>
    <n v="8"/>
    <n v="9"/>
    <n v="6"/>
    <n v="3"/>
    <n v="3"/>
  </r>
  <r>
    <n v="9"/>
    <n v="1"/>
    <n v="4"/>
    <n v="3"/>
    <n v="7"/>
  </r>
  <r>
    <n v="3"/>
    <n v="6"/>
    <n v="9"/>
    <n v="9"/>
    <n v="7"/>
  </r>
  <r>
    <n v="6"/>
    <n v="10"/>
    <n v="10"/>
    <n v="7"/>
    <n v="2"/>
  </r>
  <r>
    <n v="6"/>
    <n v="7"/>
    <n v="10"/>
    <n v="2"/>
    <n v="5"/>
  </r>
  <r>
    <n v="5"/>
    <n v="10"/>
    <n v="8"/>
    <n v="9"/>
    <n v="4"/>
  </r>
  <r>
    <n v="4"/>
    <n v="6"/>
    <n v="5"/>
    <n v="4"/>
    <n v="4"/>
  </r>
  <r>
    <n v="6"/>
    <n v="10"/>
    <n v="9"/>
    <n v="9"/>
    <n v="1"/>
  </r>
  <r>
    <n v="8"/>
    <n v="7"/>
    <n v="1"/>
    <n v="1"/>
    <n v="9"/>
  </r>
  <r>
    <n v="4"/>
    <n v="3"/>
    <n v="5"/>
    <n v="3"/>
    <n v="9"/>
  </r>
  <r>
    <n v="9"/>
    <n v="1"/>
    <n v="4"/>
    <n v="6"/>
    <n v="5"/>
  </r>
  <r>
    <n v="2"/>
    <n v="7"/>
    <n v="8"/>
    <n v="9"/>
    <n v="8"/>
  </r>
  <r>
    <n v="2"/>
    <n v="7"/>
    <n v="8"/>
    <n v="5"/>
    <n v="1"/>
  </r>
  <r>
    <n v="5"/>
    <n v="9"/>
    <n v="6"/>
    <n v="10"/>
    <n v="3"/>
  </r>
  <r>
    <n v="1"/>
    <n v="3"/>
    <n v="7"/>
    <n v="9"/>
    <n v="6"/>
  </r>
  <r>
    <n v="8"/>
    <n v="8"/>
    <n v="1"/>
    <n v="4"/>
    <n v="1"/>
  </r>
  <r>
    <n v="5"/>
    <n v="6"/>
    <n v="2"/>
    <n v="5"/>
    <n v="6"/>
  </r>
  <r>
    <n v="9"/>
    <n v="7"/>
    <n v="8"/>
    <n v="6"/>
    <n v="2"/>
  </r>
  <r>
    <n v="3"/>
    <n v="4"/>
    <n v="7"/>
    <n v="9"/>
    <n v="8"/>
  </r>
  <r>
    <n v="6"/>
    <n v="6"/>
    <n v="10"/>
    <n v="8"/>
    <n v="9"/>
  </r>
  <r>
    <n v="4"/>
    <n v="5"/>
    <n v="8"/>
    <n v="10"/>
    <n v="8"/>
  </r>
  <r>
    <n v="4"/>
    <n v="3"/>
    <n v="5"/>
    <n v="2"/>
    <n v="8"/>
  </r>
  <r>
    <n v="1"/>
    <n v="5"/>
    <n v="1"/>
    <n v="4"/>
    <n v="4"/>
  </r>
  <r>
    <n v="4"/>
    <n v="3"/>
    <n v="2"/>
    <n v="7"/>
    <n v="2"/>
  </r>
  <r>
    <n v="4"/>
    <n v="8"/>
    <n v="3"/>
    <n v="8"/>
    <n v="7"/>
  </r>
  <r>
    <n v="2"/>
    <n v="7"/>
    <n v="5"/>
    <n v="8"/>
    <n v="3"/>
  </r>
  <r>
    <n v="7"/>
    <n v="6"/>
    <n v="8"/>
    <n v="5"/>
    <n v="5"/>
  </r>
  <r>
    <n v="1"/>
    <n v="10"/>
    <n v="4"/>
    <n v="4"/>
    <n v="4"/>
  </r>
  <r>
    <n v="9"/>
    <n v="8"/>
    <n v="6"/>
    <n v="2"/>
    <n v="3"/>
  </r>
  <r>
    <n v="7"/>
    <n v="1"/>
    <n v="8"/>
    <n v="2"/>
    <n v="1"/>
  </r>
  <r>
    <n v="7"/>
    <n v="1"/>
    <n v="8"/>
    <n v="4"/>
    <n v="2"/>
  </r>
  <r>
    <n v="6"/>
    <n v="4"/>
    <n v="5"/>
    <n v="6"/>
    <n v="3"/>
  </r>
  <r>
    <n v="4"/>
    <n v="7"/>
    <n v="8"/>
    <n v="5"/>
    <n v="8"/>
  </r>
  <r>
    <n v="3"/>
    <n v="7"/>
    <n v="9"/>
    <n v="4"/>
    <n v="5"/>
  </r>
  <r>
    <n v="4"/>
    <n v="10"/>
    <n v="8"/>
    <n v="9"/>
    <n v="4"/>
  </r>
  <r>
    <n v="2"/>
    <n v="4"/>
    <n v="5"/>
    <n v="3"/>
    <n v="10"/>
  </r>
  <r>
    <n v="3"/>
    <n v="2"/>
    <n v="4"/>
    <n v="2"/>
    <n v="1"/>
  </r>
  <r>
    <n v="3"/>
    <n v="6"/>
    <n v="7"/>
    <n v="1"/>
    <n v="2"/>
  </r>
  <r>
    <n v="4"/>
    <n v="10"/>
    <n v="10"/>
    <n v="10"/>
    <n v="6"/>
  </r>
  <r>
    <n v="9"/>
    <n v="4"/>
    <n v="8"/>
    <n v="7"/>
    <n v="5"/>
  </r>
  <r>
    <n v="2"/>
    <n v="8"/>
    <n v="6"/>
    <n v="2"/>
    <n v="10"/>
  </r>
  <r>
    <n v="10"/>
    <n v="4"/>
    <n v="5"/>
    <n v="3"/>
    <n v="9"/>
  </r>
  <r>
    <n v="8"/>
    <n v="4"/>
    <n v="3"/>
    <n v="10"/>
    <n v="8"/>
  </r>
  <r>
    <n v="1"/>
    <n v="1"/>
    <n v="1"/>
    <n v="6"/>
    <n v="9"/>
  </r>
  <r>
    <n v="3"/>
    <n v="5"/>
    <n v="3"/>
    <n v="9"/>
    <n v="3"/>
  </r>
  <r>
    <n v="5"/>
    <n v="3"/>
    <n v="1"/>
    <n v="4"/>
    <n v="8"/>
  </r>
  <r>
    <n v="5"/>
    <n v="6"/>
    <n v="8"/>
    <n v="6"/>
    <n v="1"/>
  </r>
  <r>
    <n v="9"/>
    <n v="2"/>
    <n v="4"/>
    <n v="7"/>
    <n v="2"/>
  </r>
  <r>
    <n v="8"/>
    <n v="2"/>
    <n v="2"/>
    <n v="3"/>
    <n v="2"/>
  </r>
  <r>
    <n v="5"/>
    <n v="7"/>
    <n v="3"/>
    <n v="2"/>
    <n v="2"/>
  </r>
  <r>
    <n v="7"/>
    <n v="7"/>
    <n v="7"/>
    <n v="10"/>
    <n v="2"/>
  </r>
  <r>
    <n v="5"/>
    <n v="1"/>
    <n v="1"/>
    <n v="9"/>
    <n v="9"/>
  </r>
  <r>
    <n v="8"/>
    <n v="10"/>
    <n v="1"/>
    <n v="7"/>
    <n v="3"/>
  </r>
  <r>
    <n v="2"/>
    <n v="3"/>
    <n v="9"/>
    <n v="1"/>
    <n v="6"/>
  </r>
  <r>
    <n v="10"/>
    <n v="8"/>
    <n v="4"/>
    <n v="9"/>
    <n v="5"/>
  </r>
  <r>
    <n v="2"/>
    <n v="7"/>
    <n v="10"/>
    <n v="10"/>
    <n v="8"/>
  </r>
  <r>
    <n v="6"/>
    <n v="3"/>
    <n v="8"/>
    <n v="9"/>
    <n v="6"/>
  </r>
  <r>
    <n v="7"/>
    <n v="2"/>
    <n v="1"/>
    <n v="6"/>
    <n v="6"/>
  </r>
  <r>
    <n v="7"/>
    <n v="3"/>
    <n v="9"/>
    <n v="5"/>
    <n v="10"/>
  </r>
  <r>
    <n v="2"/>
    <n v="2"/>
    <n v="9"/>
    <n v="8"/>
    <n v="7"/>
  </r>
  <r>
    <n v="7"/>
    <n v="1"/>
    <n v="6"/>
    <n v="5"/>
    <n v="7"/>
  </r>
  <r>
    <n v="3"/>
    <n v="4"/>
    <n v="5"/>
    <n v="6"/>
    <n v="6"/>
  </r>
  <r>
    <n v="1"/>
    <n v="9"/>
    <n v="10"/>
    <n v="10"/>
    <n v="6"/>
  </r>
  <r>
    <n v="10"/>
    <n v="5"/>
    <n v="10"/>
    <n v="9"/>
    <n v="1"/>
  </r>
  <r>
    <n v="8"/>
    <n v="4"/>
    <n v="7"/>
    <n v="9"/>
    <n v="9"/>
  </r>
  <r>
    <n v="6"/>
    <n v="5"/>
    <n v="9"/>
    <n v="6"/>
    <n v="8"/>
  </r>
  <r>
    <n v="6"/>
    <n v="6"/>
    <n v="5"/>
    <n v="5"/>
    <n v="7"/>
  </r>
  <r>
    <n v="2"/>
    <n v="9"/>
    <n v="2"/>
    <n v="9"/>
    <n v="8"/>
  </r>
  <r>
    <n v="5"/>
    <n v="10"/>
    <n v="2"/>
    <n v="7"/>
    <n v="10"/>
  </r>
  <r>
    <n v="8"/>
    <n v="5"/>
    <n v="1"/>
    <n v="5"/>
    <n v="7"/>
  </r>
  <r>
    <n v="6"/>
    <n v="6"/>
    <n v="5"/>
    <n v="3"/>
    <n v="3"/>
  </r>
  <r>
    <n v="4"/>
    <n v="6"/>
    <n v="2"/>
    <n v="4"/>
    <n v="10"/>
  </r>
  <r>
    <n v="1"/>
    <n v="10"/>
    <n v="9"/>
    <n v="5"/>
    <n v="7"/>
  </r>
  <r>
    <n v="3"/>
    <n v="10"/>
    <n v="8"/>
    <n v="6"/>
    <n v="8"/>
  </r>
  <r>
    <n v="3"/>
    <n v="9"/>
    <n v="5"/>
    <n v="9"/>
    <n v="9"/>
  </r>
  <r>
    <n v="9"/>
    <n v="2"/>
    <n v="10"/>
    <n v="1"/>
    <n v="8"/>
  </r>
  <r>
    <n v="6"/>
    <n v="2"/>
    <n v="2"/>
    <n v="10"/>
    <n v="3"/>
  </r>
  <r>
    <n v="8"/>
    <n v="1"/>
    <n v="5"/>
    <n v="6"/>
    <n v="10"/>
  </r>
  <r>
    <n v="4"/>
    <n v="9"/>
    <n v="10"/>
    <n v="6"/>
    <n v="7"/>
  </r>
  <r>
    <n v="5"/>
    <n v="10"/>
    <n v="4"/>
    <n v="7"/>
    <n v="5"/>
  </r>
  <r>
    <n v="8"/>
    <n v="2"/>
    <n v="5"/>
    <n v="9"/>
    <n v="7"/>
  </r>
  <r>
    <n v="10"/>
    <n v="5"/>
    <n v="5"/>
    <n v="5"/>
    <n v="1"/>
  </r>
  <r>
    <n v="4"/>
    <n v="4"/>
    <n v="9"/>
    <n v="1"/>
    <n v="5"/>
  </r>
  <r>
    <n v="4"/>
    <n v="1"/>
    <n v="6"/>
    <n v="2"/>
    <n v="4"/>
  </r>
  <r>
    <n v="1"/>
    <n v="2"/>
    <n v="1"/>
    <n v="2"/>
    <n v="3"/>
  </r>
  <r>
    <n v="9"/>
    <n v="5"/>
    <n v="2"/>
    <n v="2"/>
    <n v="10"/>
  </r>
  <r>
    <n v="3"/>
    <n v="3"/>
    <n v="3"/>
    <n v="7"/>
    <n v="5"/>
  </r>
  <r>
    <n v="7"/>
    <n v="6"/>
    <n v="9"/>
    <n v="3"/>
    <n v="5"/>
  </r>
  <r>
    <n v="5"/>
    <n v="7"/>
    <n v="7"/>
    <n v="9"/>
    <n v="4"/>
  </r>
  <r>
    <n v="2"/>
    <n v="5"/>
    <n v="9"/>
    <n v="2"/>
    <n v="9"/>
  </r>
  <r>
    <n v="7"/>
    <n v="8"/>
    <n v="4"/>
    <n v="7"/>
    <n v="9"/>
  </r>
  <r>
    <n v="3"/>
    <n v="10"/>
    <n v="1"/>
    <n v="9"/>
    <n v="7"/>
  </r>
  <r>
    <n v="10"/>
    <n v="7"/>
    <n v="6"/>
    <n v="1"/>
    <n v="6"/>
  </r>
  <r>
    <n v="2"/>
    <n v="8"/>
    <n v="7"/>
    <n v="8"/>
    <n v="1"/>
  </r>
  <r>
    <n v="8"/>
    <n v="1"/>
    <n v="1"/>
    <n v="4"/>
    <n v="1"/>
  </r>
  <r>
    <n v="4"/>
    <n v="3"/>
    <n v="4"/>
    <n v="8"/>
    <n v="3"/>
  </r>
  <r>
    <n v="9"/>
    <n v="5"/>
    <n v="6"/>
    <n v="3"/>
    <n v="3"/>
  </r>
  <r>
    <n v="10"/>
    <n v="5"/>
    <n v="3"/>
    <n v="6"/>
    <n v="1"/>
  </r>
  <r>
    <n v="8"/>
    <n v="5"/>
    <n v="7"/>
    <n v="8"/>
    <n v="4"/>
  </r>
  <r>
    <n v="6"/>
    <n v="10"/>
    <n v="10"/>
    <n v="3"/>
    <n v="8"/>
  </r>
  <r>
    <n v="4"/>
    <n v="10"/>
    <n v="1"/>
    <n v="4"/>
    <n v="5"/>
  </r>
  <r>
    <n v="3"/>
    <n v="3"/>
    <n v="8"/>
    <n v="3"/>
    <n v="3"/>
  </r>
  <r>
    <n v="7"/>
    <n v="10"/>
    <n v="6"/>
    <n v="2"/>
    <n v="2"/>
  </r>
  <r>
    <n v="10"/>
    <n v="5"/>
    <n v="2"/>
    <n v="5"/>
    <n v="7"/>
  </r>
  <r>
    <n v="5"/>
    <n v="2"/>
    <n v="2"/>
    <n v="5"/>
    <n v="8"/>
  </r>
  <r>
    <n v="1"/>
    <n v="9"/>
    <n v="6"/>
    <n v="9"/>
    <n v="3"/>
  </r>
  <r>
    <n v="2"/>
    <n v="7"/>
    <n v="1"/>
    <n v="1"/>
    <n v="2"/>
  </r>
  <r>
    <n v="3"/>
    <n v="8"/>
    <n v="1"/>
    <n v="8"/>
    <n v="10"/>
  </r>
  <r>
    <n v="10"/>
    <n v="1"/>
    <n v="10"/>
    <n v="8"/>
    <n v="1"/>
  </r>
  <r>
    <n v="5"/>
    <n v="6"/>
    <n v="3"/>
    <n v="2"/>
    <n v="9"/>
  </r>
  <r>
    <n v="2"/>
    <n v="7"/>
    <n v="1"/>
    <n v="5"/>
    <n v="9"/>
  </r>
  <r>
    <n v="10"/>
    <n v="5"/>
    <n v="10"/>
    <n v="10"/>
    <n v="1"/>
  </r>
  <r>
    <n v="3"/>
    <n v="8"/>
    <n v="9"/>
    <n v="2"/>
    <n v="4"/>
  </r>
  <r>
    <n v="5"/>
    <n v="10"/>
    <n v="3"/>
    <n v="5"/>
    <n v="6"/>
  </r>
  <r>
    <n v="2"/>
    <n v="5"/>
    <n v="7"/>
    <n v="1"/>
    <n v="2"/>
  </r>
  <r>
    <n v="1"/>
    <n v="9"/>
    <n v="8"/>
    <n v="5"/>
    <n v="5"/>
  </r>
  <r>
    <n v="8"/>
    <n v="10"/>
    <n v="10"/>
    <n v="9"/>
    <n v="5"/>
  </r>
  <r>
    <n v="6"/>
    <n v="3"/>
    <n v="7"/>
    <n v="1"/>
    <n v="3"/>
  </r>
  <r>
    <n v="8"/>
    <n v="8"/>
    <n v="6"/>
    <n v="4"/>
    <n v="7"/>
  </r>
  <r>
    <n v="5"/>
    <n v="1"/>
    <n v="1"/>
    <n v="7"/>
    <n v="7"/>
  </r>
  <r>
    <n v="6"/>
    <n v="6"/>
    <n v="1"/>
    <n v="7"/>
    <n v="9"/>
  </r>
  <r>
    <n v="3"/>
    <n v="10"/>
    <n v="6"/>
    <n v="5"/>
    <n v="9"/>
  </r>
  <r>
    <n v="10"/>
    <n v="5"/>
    <n v="8"/>
    <n v="7"/>
    <n v="6"/>
  </r>
  <r>
    <n v="8"/>
    <n v="1"/>
    <n v="4"/>
    <n v="4"/>
    <n v="7"/>
  </r>
  <r>
    <n v="10"/>
    <n v="6"/>
    <n v="7"/>
    <n v="1"/>
    <n v="10"/>
  </r>
  <r>
    <n v="4"/>
    <n v="9"/>
    <n v="5"/>
    <n v="2"/>
    <n v="9"/>
  </r>
  <r>
    <n v="9"/>
    <n v="5"/>
    <n v="8"/>
    <n v="10"/>
    <n v="9"/>
  </r>
  <r>
    <n v="4"/>
    <n v="10"/>
    <n v="7"/>
    <n v="1"/>
    <n v="9"/>
  </r>
  <r>
    <n v="1"/>
    <n v="4"/>
    <n v="3"/>
    <n v="4"/>
    <n v="7"/>
  </r>
  <r>
    <n v="5"/>
    <n v="5"/>
    <n v="9"/>
    <n v="9"/>
    <n v="1"/>
  </r>
  <r>
    <n v="3"/>
    <n v="1"/>
    <n v="7"/>
    <n v="7"/>
    <n v="8"/>
  </r>
  <r>
    <n v="2"/>
    <n v="3"/>
    <n v="10"/>
    <n v="7"/>
    <n v="3"/>
  </r>
  <r>
    <n v="9"/>
    <n v="6"/>
    <n v="10"/>
    <n v="1"/>
    <n v="3"/>
  </r>
  <r>
    <n v="3"/>
    <n v="8"/>
    <n v="6"/>
    <n v="5"/>
    <n v="2"/>
  </r>
  <r>
    <n v="9"/>
    <n v="10"/>
    <n v="10"/>
    <n v="4"/>
    <n v="9"/>
  </r>
  <r>
    <n v="3"/>
    <n v="3"/>
    <n v="3"/>
    <n v="1"/>
    <n v="10"/>
  </r>
  <r>
    <n v="5"/>
    <n v="10"/>
    <n v="1"/>
    <n v="6"/>
    <n v="6"/>
  </r>
  <r>
    <n v="7"/>
    <n v="6"/>
    <n v="6"/>
    <n v="4"/>
    <n v="4"/>
  </r>
  <r>
    <n v="7"/>
    <n v="4"/>
    <n v="2"/>
    <n v="7"/>
    <n v="10"/>
  </r>
  <r>
    <n v="7"/>
    <n v="9"/>
    <n v="1"/>
    <n v="7"/>
    <n v="9"/>
  </r>
  <r>
    <n v="10"/>
    <n v="9"/>
    <n v="1"/>
    <n v="2"/>
    <n v="10"/>
  </r>
  <r>
    <n v="7"/>
    <n v="6"/>
    <n v="1"/>
    <n v="10"/>
    <n v="9"/>
  </r>
  <r>
    <n v="8"/>
    <n v="2"/>
    <n v="4"/>
    <n v="1"/>
    <n v="6"/>
  </r>
  <r>
    <n v="3"/>
    <n v="3"/>
    <n v="7"/>
    <n v="10"/>
    <n v="5"/>
  </r>
  <r>
    <n v="7"/>
    <n v="2"/>
    <n v="7"/>
    <n v="5"/>
    <n v="5"/>
  </r>
  <r>
    <n v="10"/>
    <n v="7"/>
    <n v="5"/>
    <n v="1"/>
    <n v="10"/>
  </r>
  <r>
    <n v="2"/>
    <n v="8"/>
    <n v="3"/>
    <n v="3"/>
    <n v="3"/>
  </r>
  <r>
    <n v="7"/>
    <n v="7"/>
    <n v="1"/>
    <n v="3"/>
    <n v="9"/>
  </r>
  <r>
    <n v="8"/>
    <n v="3"/>
    <n v="3"/>
    <n v="5"/>
    <n v="4"/>
  </r>
  <r>
    <n v="7"/>
    <n v="10"/>
    <n v="1"/>
    <n v="1"/>
    <n v="1"/>
  </r>
  <r>
    <n v="1"/>
    <n v="5"/>
    <n v="7"/>
    <n v="7"/>
    <n v="5"/>
  </r>
  <r>
    <n v="1"/>
    <n v="4"/>
    <n v="2"/>
    <n v="4"/>
    <n v="10"/>
  </r>
  <r>
    <n v="1"/>
    <n v="7"/>
    <n v="6"/>
    <n v="3"/>
    <n v="8"/>
  </r>
  <r>
    <n v="6"/>
    <n v="1"/>
    <n v="9"/>
    <n v="1"/>
    <n v="4"/>
  </r>
  <r>
    <n v="6"/>
    <n v="3"/>
    <n v="1"/>
    <n v="3"/>
    <n v="1"/>
  </r>
  <r>
    <n v="1"/>
    <n v="3"/>
    <n v="4"/>
    <n v="2"/>
    <n v="4"/>
  </r>
  <r>
    <n v="1"/>
    <n v="10"/>
    <n v="6"/>
    <n v="6"/>
    <n v="6"/>
  </r>
  <r>
    <n v="4"/>
    <n v="1"/>
    <n v="8"/>
    <n v="5"/>
    <n v="9"/>
  </r>
  <r>
    <n v="3"/>
    <n v="4"/>
    <n v="2"/>
    <n v="10"/>
    <n v="3"/>
  </r>
  <r>
    <n v="9"/>
    <n v="6"/>
    <n v="2"/>
    <n v="5"/>
    <n v="8"/>
  </r>
  <r>
    <n v="1"/>
    <n v="2"/>
    <n v="10"/>
    <n v="8"/>
    <n v="7"/>
  </r>
  <r>
    <n v="3"/>
    <n v="2"/>
    <n v="9"/>
    <n v="5"/>
    <n v="9"/>
  </r>
  <r>
    <n v="8"/>
    <n v="6"/>
    <n v="7"/>
    <n v="9"/>
    <n v="5"/>
  </r>
  <r>
    <n v="7"/>
    <n v="8"/>
    <n v="8"/>
    <n v="3"/>
    <n v="4"/>
  </r>
  <r>
    <n v="5"/>
    <n v="3"/>
    <n v="8"/>
    <n v="2"/>
    <n v="1"/>
  </r>
  <r>
    <n v="4"/>
    <n v="8"/>
    <n v="4"/>
    <n v="1"/>
    <n v="4"/>
  </r>
  <r>
    <n v="6"/>
    <n v="7"/>
    <n v="5"/>
    <n v="9"/>
    <n v="3"/>
  </r>
  <r>
    <n v="3"/>
    <n v="8"/>
    <n v="3"/>
    <n v="9"/>
    <n v="2"/>
  </r>
  <r>
    <n v="4"/>
    <n v="7"/>
    <n v="7"/>
    <n v="6"/>
    <n v="3"/>
  </r>
  <r>
    <n v="9"/>
    <n v="8"/>
    <n v="6"/>
    <n v="10"/>
    <n v="10"/>
  </r>
  <r>
    <n v="8"/>
    <n v="2"/>
    <n v="1"/>
    <n v="9"/>
    <n v="10"/>
  </r>
  <r>
    <n v="9"/>
    <n v="9"/>
    <n v="8"/>
    <n v="6"/>
    <n v="5"/>
  </r>
  <r>
    <n v="4"/>
    <n v="7"/>
    <n v="9"/>
    <n v="3"/>
    <n v="2"/>
  </r>
  <r>
    <n v="8"/>
    <n v="8"/>
    <n v="4"/>
    <n v="8"/>
    <n v="1"/>
  </r>
  <r>
    <n v="8"/>
    <n v="1"/>
    <n v="1"/>
    <n v="9"/>
    <n v="2"/>
  </r>
  <r>
    <n v="1"/>
    <n v="9"/>
    <n v="8"/>
    <n v="3"/>
    <n v="1"/>
  </r>
  <r>
    <n v="10"/>
    <n v="3"/>
    <n v="2"/>
    <n v="9"/>
    <n v="2"/>
  </r>
  <r>
    <n v="4"/>
    <n v="9"/>
    <n v="5"/>
    <n v="5"/>
    <n v="2"/>
  </r>
  <r>
    <n v="5"/>
    <n v="8"/>
    <n v="4"/>
    <n v="8"/>
    <n v="7"/>
  </r>
  <r>
    <n v="9"/>
    <n v="5"/>
    <n v="4"/>
    <n v="1"/>
    <n v="8"/>
  </r>
  <r>
    <n v="1"/>
    <n v="6"/>
    <n v="6"/>
    <n v="3"/>
    <n v="2"/>
  </r>
  <r>
    <n v="8"/>
    <n v="6"/>
    <n v="4"/>
    <n v="1"/>
    <n v="5"/>
  </r>
  <r>
    <n v="5"/>
    <n v="8"/>
    <n v="3"/>
    <n v="9"/>
    <n v="4"/>
  </r>
  <r>
    <n v="1"/>
    <n v="3"/>
    <n v="4"/>
    <n v="6"/>
    <n v="4"/>
  </r>
  <r>
    <n v="8"/>
    <n v="7"/>
    <n v="4"/>
    <n v="8"/>
    <n v="9"/>
  </r>
  <r>
    <n v="1"/>
    <n v="9"/>
    <n v="3"/>
    <n v="2"/>
    <n v="6"/>
  </r>
  <r>
    <n v="1"/>
    <n v="1"/>
    <n v="3"/>
    <n v="9"/>
    <n v="7"/>
  </r>
  <r>
    <n v="9"/>
    <n v="9"/>
    <n v="9"/>
    <n v="9"/>
    <n v="2"/>
  </r>
  <r>
    <n v="4"/>
    <n v="4"/>
    <n v="1"/>
    <n v="5"/>
    <n v="5"/>
  </r>
  <r>
    <n v="3"/>
    <n v="3"/>
    <n v="4"/>
    <n v="1"/>
    <n v="5"/>
  </r>
  <r>
    <n v="9"/>
    <n v="4"/>
    <n v="6"/>
    <n v="7"/>
    <n v="3"/>
  </r>
  <r>
    <n v="6"/>
    <n v="9"/>
    <n v="9"/>
    <n v="1"/>
    <n v="7"/>
  </r>
  <r>
    <n v="6"/>
    <n v="7"/>
    <n v="4"/>
    <n v="3"/>
    <n v="6"/>
  </r>
  <r>
    <n v="7"/>
    <n v="7"/>
    <n v="8"/>
    <n v="9"/>
    <n v="3"/>
  </r>
  <r>
    <n v="1"/>
    <n v="2"/>
    <n v="4"/>
    <n v="7"/>
    <n v="5"/>
  </r>
  <r>
    <n v="2"/>
    <n v="7"/>
    <n v="9"/>
    <n v="10"/>
    <n v="6"/>
  </r>
  <r>
    <n v="10"/>
    <n v="8"/>
    <n v="6"/>
    <n v="10"/>
    <n v="3"/>
  </r>
  <r>
    <n v="7"/>
    <n v="7"/>
    <n v="8"/>
    <n v="9"/>
    <n v="8"/>
  </r>
  <r>
    <n v="1"/>
    <n v="1"/>
    <n v="7"/>
    <n v="8"/>
    <n v="2"/>
  </r>
  <r>
    <n v="10"/>
    <n v="9"/>
    <n v="10"/>
    <n v="1"/>
    <n v="5"/>
  </r>
  <r>
    <n v="7"/>
    <n v="10"/>
    <n v="2"/>
    <n v="7"/>
    <n v="3"/>
  </r>
  <r>
    <n v="10"/>
    <n v="8"/>
    <n v="10"/>
    <n v="10"/>
    <n v="3"/>
  </r>
  <r>
    <n v="2"/>
    <n v="10"/>
    <n v="2"/>
    <n v="5"/>
    <n v="4"/>
  </r>
  <r>
    <n v="1"/>
    <n v="6"/>
    <n v="5"/>
    <n v="5"/>
    <n v="10"/>
  </r>
  <r>
    <n v="5"/>
    <n v="9"/>
    <n v="3"/>
    <n v="6"/>
    <n v="8"/>
  </r>
  <r>
    <n v="5"/>
    <n v="6"/>
    <n v="3"/>
    <n v="10"/>
    <n v="10"/>
  </r>
  <r>
    <n v="4"/>
    <n v="5"/>
    <n v="2"/>
    <n v="3"/>
    <n v="9"/>
  </r>
  <r>
    <n v="7"/>
    <n v="2"/>
    <n v="6"/>
    <n v="6"/>
    <n v="8"/>
  </r>
  <r>
    <n v="9"/>
    <n v="6"/>
    <n v="7"/>
    <n v="6"/>
    <n v="9"/>
  </r>
  <r>
    <n v="8"/>
    <n v="2"/>
    <n v="8"/>
    <n v="10"/>
    <n v="7"/>
  </r>
  <r>
    <n v="7"/>
    <n v="3"/>
    <n v="2"/>
    <n v="4"/>
    <n v="6"/>
  </r>
  <r>
    <n v="4"/>
    <n v="8"/>
    <n v="9"/>
    <n v="10"/>
    <n v="3"/>
  </r>
  <r>
    <n v="8"/>
    <n v="6"/>
    <n v="9"/>
    <n v="10"/>
    <n v="3"/>
  </r>
  <r>
    <n v="7"/>
    <n v="10"/>
    <n v="1"/>
    <n v="2"/>
    <n v="9"/>
  </r>
  <r>
    <n v="9"/>
    <n v="2"/>
    <n v="5"/>
    <n v="7"/>
    <n v="8"/>
  </r>
  <r>
    <n v="1"/>
    <n v="2"/>
    <n v="10"/>
    <n v="6"/>
    <n v="3"/>
  </r>
  <r>
    <n v="1"/>
    <n v="4"/>
    <n v="5"/>
    <n v="7"/>
    <n v="4"/>
  </r>
  <r>
    <n v="2"/>
    <n v="6"/>
    <n v="10"/>
    <n v="10"/>
    <n v="9"/>
  </r>
  <r>
    <n v="10"/>
    <n v="8"/>
    <n v="5"/>
    <n v="4"/>
    <n v="1"/>
  </r>
  <r>
    <n v="3"/>
    <n v="6"/>
    <n v="10"/>
    <n v="9"/>
    <n v="4"/>
  </r>
  <r>
    <n v="10"/>
    <n v="5"/>
    <n v="1"/>
    <n v="4"/>
    <n v="7"/>
  </r>
  <r>
    <n v="4"/>
    <n v="6"/>
    <n v="7"/>
    <n v="6"/>
    <n v="9"/>
  </r>
  <r>
    <n v="4"/>
    <n v="1"/>
    <n v="6"/>
    <n v="1"/>
    <n v="10"/>
  </r>
  <r>
    <n v="5"/>
    <n v="2"/>
    <n v="9"/>
    <n v="2"/>
    <n v="4"/>
  </r>
  <r>
    <n v="7"/>
    <n v="5"/>
    <n v="4"/>
    <n v="1"/>
    <n v="5"/>
  </r>
  <r>
    <n v="9"/>
    <n v="3"/>
    <n v="7"/>
    <n v="4"/>
    <n v="7"/>
  </r>
  <r>
    <n v="9"/>
    <n v="1"/>
    <n v="10"/>
    <n v="3"/>
    <n v="2"/>
  </r>
  <r>
    <n v="8"/>
    <n v="8"/>
    <n v="8"/>
    <n v="5"/>
    <n v="5"/>
  </r>
  <r>
    <n v="2"/>
    <n v="6"/>
    <n v="9"/>
    <n v="4"/>
    <n v="10"/>
  </r>
  <r>
    <n v="1"/>
    <n v="8"/>
    <n v="6"/>
    <n v="3"/>
    <n v="7"/>
  </r>
  <r>
    <n v="3"/>
    <n v="2"/>
    <n v="5"/>
    <n v="6"/>
    <n v="6"/>
  </r>
  <r>
    <n v="7"/>
    <n v="9"/>
    <n v="7"/>
    <n v="10"/>
    <n v="5"/>
  </r>
  <r>
    <n v="5"/>
    <n v="4"/>
    <n v="10"/>
    <n v="5"/>
    <n v="4"/>
  </r>
  <r>
    <n v="8"/>
    <n v="3"/>
    <n v="8"/>
    <n v="2"/>
    <n v="10"/>
  </r>
  <r>
    <n v="3"/>
    <n v="2"/>
    <n v="8"/>
    <n v="5"/>
    <n v="10"/>
  </r>
  <r>
    <n v="1"/>
    <n v="6"/>
    <n v="1"/>
    <n v="7"/>
    <n v="5"/>
  </r>
  <r>
    <n v="1"/>
    <n v="7"/>
    <n v="10"/>
    <n v="6"/>
    <n v="6"/>
  </r>
  <r>
    <n v="7"/>
    <n v="2"/>
    <n v="10"/>
    <n v="7"/>
    <n v="3"/>
  </r>
  <r>
    <n v="5"/>
    <n v="7"/>
    <n v="9"/>
    <n v="6"/>
    <n v="8"/>
  </r>
  <r>
    <n v="9"/>
    <n v="5"/>
    <n v="4"/>
    <n v="2"/>
    <n v="1"/>
  </r>
  <r>
    <n v="7"/>
    <n v="9"/>
    <n v="8"/>
    <n v="1"/>
    <n v="6"/>
  </r>
  <r>
    <n v="4"/>
    <n v="5"/>
    <n v="7"/>
    <n v="8"/>
    <n v="1"/>
  </r>
  <r>
    <n v="7"/>
    <n v="10"/>
    <n v="1"/>
    <n v="7"/>
    <n v="9"/>
  </r>
  <r>
    <n v="4"/>
    <n v="2"/>
    <n v="8"/>
    <n v="1"/>
    <n v="10"/>
  </r>
  <r>
    <n v="9"/>
    <n v="2"/>
    <n v="4"/>
    <n v="6"/>
    <n v="2"/>
  </r>
  <r>
    <n v="10"/>
    <n v="6"/>
    <n v="8"/>
    <n v="2"/>
    <n v="6"/>
  </r>
  <r>
    <n v="9"/>
    <n v="9"/>
    <n v="6"/>
    <n v="4"/>
    <n v="8"/>
  </r>
  <r>
    <n v="9"/>
    <n v="4"/>
    <n v="6"/>
    <n v="3"/>
    <n v="1"/>
  </r>
  <r>
    <n v="2"/>
    <n v="10"/>
    <n v="10"/>
    <n v="8"/>
    <n v="4"/>
  </r>
  <r>
    <n v="6"/>
    <n v="9"/>
    <n v="6"/>
    <n v="7"/>
    <n v="5"/>
  </r>
  <r>
    <n v="1"/>
    <n v="5"/>
    <n v="8"/>
    <n v="10"/>
    <n v="4"/>
  </r>
  <r>
    <n v="9"/>
    <n v="7"/>
    <n v="3"/>
    <n v="10"/>
    <n v="2"/>
  </r>
  <r>
    <n v="10"/>
    <n v="3"/>
    <n v="9"/>
    <n v="2"/>
    <n v="3"/>
  </r>
  <r>
    <n v="5"/>
    <n v="8"/>
    <n v="3"/>
    <n v="7"/>
    <n v="10"/>
  </r>
  <r>
    <n v="8"/>
    <n v="7"/>
    <n v="6"/>
    <n v="8"/>
    <n v="6"/>
  </r>
  <r>
    <n v="10"/>
    <n v="6"/>
    <n v="10"/>
    <n v="4"/>
    <n v="1"/>
  </r>
  <r>
    <n v="3"/>
    <n v="4"/>
    <n v="3"/>
    <n v="3"/>
    <n v="9"/>
  </r>
  <r>
    <n v="6"/>
    <n v="4"/>
    <n v="10"/>
    <n v="5"/>
    <n v="5"/>
  </r>
  <r>
    <n v="9"/>
    <n v="6"/>
    <n v="9"/>
    <n v="2"/>
    <n v="8"/>
  </r>
  <r>
    <n v="3"/>
    <n v="5"/>
    <n v="8"/>
    <n v="9"/>
    <n v="1"/>
  </r>
  <r>
    <n v="8"/>
    <n v="1"/>
    <n v="9"/>
    <n v="7"/>
    <n v="4"/>
  </r>
  <r>
    <n v="4"/>
    <n v="10"/>
    <n v="6"/>
    <n v="10"/>
    <n v="3"/>
  </r>
  <r>
    <n v="10"/>
    <n v="1"/>
    <n v="4"/>
    <n v="9"/>
    <n v="9"/>
  </r>
  <r>
    <n v="8"/>
    <n v="6"/>
    <n v="6"/>
    <n v="2"/>
    <n v="3"/>
  </r>
  <r>
    <n v="9"/>
    <n v="8"/>
    <n v="6"/>
    <n v="9"/>
    <n v="8"/>
  </r>
  <r>
    <n v="4"/>
    <n v="2"/>
    <n v="5"/>
    <n v="1"/>
    <n v="2"/>
  </r>
  <r>
    <n v="8"/>
    <n v="2"/>
    <n v="8"/>
    <n v="3"/>
    <n v="4"/>
  </r>
  <r>
    <n v="2"/>
    <n v="2"/>
    <n v="1"/>
    <n v="1"/>
    <n v="4"/>
  </r>
  <r>
    <n v="2"/>
    <n v="10"/>
    <n v="5"/>
    <n v="8"/>
    <n v="2"/>
  </r>
  <r>
    <n v="6"/>
    <n v="9"/>
    <n v="10"/>
    <n v="3"/>
    <n v="10"/>
  </r>
  <r>
    <n v="2"/>
    <n v="3"/>
    <n v="7"/>
    <n v="3"/>
    <n v="9"/>
  </r>
  <r>
    <n v="5"/>
    <n v="7"/>
    <n v="2"/>
    <n v="5"/>
    <n v="10"/>
  </r>
  <r>
    <n v="7"/>
    <n v="1"/>
    <n v="4"/>
    <n v="8"/>
    <n v="10"/>
  </r>
  <r>
    <n v="10"/>
    <n v="6"/>
    <n v="7"/>
    <n v="10"/>
    <n v="4"/>
  </r>
  <r>
    <n v="5"/>
    <n v="9"/>
    <n v="5"/>
    <n v="3"/>
    <n v="10"/>
  </r>
  <r>
    <n v="10"/>
    <n v="5"/>
    <n v="4"/>
    <n v="2"/>
    <n v="7"/>
  </r>
  <r>
    <n v="8"/>
    <n v="4"/>
    <n v="7"/>
    <n v="1"/>
    <n v="4"/>
  </r>
  <r>
    <n v="10"/>
    <n v="6"/>
    <n v="4"/>
    <n v="8"/>
    <n v="5"/>
  </r>
  <r>
    <n v="3"/>
    <n v="10"/>
    <n v="7"/>
    <n v="4"/>
    <n v="8"/>
  </r>
  <r>
    <n v="9"/>
    <n v="10"/>
    <n v="10"/>
    <n v="9"/>
    <n v="8"/>
  </r>
  <r>
    <n v="10"/>
    <n v="7"/>
    <n v="7"/>
    <n v="6"/>
    <n v="9"/>
  </r>
  <r>
    <n v="6"/>
    <n v="1"/>
    <n v="4"/>
    <n v="4"/>
    <n v="7"/>
  </r>
  <r>
    <n v="10"/>
    <n v="3"/>
    <n v="2"/>
    <n v="5"/>
    <n v="8"/>
  </r>
  <r>
    <n v="9"/>
    <n v="4"/>
    <n v="3"/>
    <n v="5"/>
    <n v="1"/>
  </r>
  <r>
    <n v="1"/>
    <n v="9"/>
    <n v="10"/>
    <n v="8"/>
    <n v="3"/>
  </r>
  <r>
    <n v="8"/>
    <n v="3"/>
    <n v="8"/>
    <n v="10"/>
    <n v="7"/>
  </r>
  <r>
    <n v="4"/>
    <n v="1"/>
    <n v="9"/>
    <n v="6"/>
    <n v="5"/>
  </r>
  <r>
    <n v="6"/>
    <n v="9"/>
    <n v="7"/>
    <n v="7"/>
    <n v="6"/>
  </r>
  <r>
    <n v="6"/>
    <n v="6"/>
    <n v="10"/>
    <n v="9"/>
    <n v="4"/>
  </r>
  <r>
    <n v="1"/>
    <n v="5"/>
    <n v="3"/>
    <n v="1"/>
    <n v="4"/>
  </r>
  <r>
    <n v="4"/>
    <n v="5"/>
    <n v="6"/>
    <n v="6"/>
    <n v="2"/>
  </r>
  <r>
    <n v="1"/>
    <n v="5"/>
    <n v="2"/>
    <n v="6"/>
    <n v="5"/>
  </r>
  <r>
    <n v="4"/>
    <n v="7"/>
    <n v="7"/>
    <n v="5"/>
    <n v="8"/>
  </r>
  <r>
    <n v="5"/>
    <n v="9"/>
    <n v="7"/>
    <n v="8"/>
    <n v="9"/>
  </r>
  <r>
    <n v="6"/>
    <n v="2"/>
    <n v="8"/>
    <n v="7"/>
    <n v="5"/>
  </r>
  <r>
    <n v="5"/>
    <n v="5"/>
    <n v="3"/>
    <n v="6"/>
    <n v="3"/>
  </r>
  <r>
    <n v="5"/>
    <n v="3"/>
    <n v="2"/>
    <n v="6"/>
    <n v="7"/>
  </r>
  <r>
    <n v="10"/>
    <n v="7"/>
    <n v="5"/>
    <n v="6"/>
    <n v="10"/>
  </r>
  <r>
    <n v="7"/>
    <n v="7"/>
    <n v="2"/>
    <n v="8"/>
    <n v="6"/>
  </r>
  <r>
    <n v="9"/>
    <n v="7"/>
    <n v="1"/>
    <n v="10"/>
    <n v="6"/>
  </r>
  <r>
    <n v="10"/>
    <n v="5"/>
    <n v="8"/>
    <n v="4"/>
    <n v="2"/>
  </r>
  <r>
    <n v="7"/>
    <n v="8"/>
    <n v="5"/>
    <n v="4"/>
    <n v="1"/>
  </r>
  <r>
    <n v="7"/>
    <n v="7"/>
    <n v="8"/>
    <n v="3"/>
    <n v="6"/>
  </r>
  <r>
    <n v="5"/>
    <n v="7"/>
    <n v="7"/>
    <n v="1"/>
    <n v="2"/>
  </r>
  <r>
    <n v="1"/>
    <n v="9"/>
    <n v="3"/>
    <n v="8"/>
    <n v="2"/>
  </r>
  <r>
    <n v="9"/>
    <n v="9"/>
    <n v="3"/>
    <n v="4"/>
    <n v="2"/>
  </r>
  <r>
    <n v="10"/>
    <n v="2"/>
    <n v="6"/>
    <n v="8"/>
    <n v="6"/>
  </r>
  <r>
    <n v="8"/>
    <n v="6"/>
    <n v="4"/>
    <n v="2"/>
    <n v="1"/>
  </r>
  <r>
    <n v="5"/>
    <n v="2"/>
    <n v="8"/>
    <n v="6"/>
    <n v="6"/>
  </r>
  <r>
    <n v="9"/>
    <n v="4"/>
    <n v="8"/>
    <n v="7"/>
    <n v="1"/>
  </r>
  <r>
    <n v="4"/>
    <n v="4"/>
    <n v="10"/>
    <n v="1"/>
    <n v="1"/>
  </r>
  <r>
    <n v="9"/>
    <n v="9"/>
    <n v="10"/>
    <n v="5"/>
    <n v="8"/>
  </r>
  <r>
    <n v="6"/>
    <n v="9"/>
    <n v="10"/>
    <n v="6"/>
    <n v="4"/>
  </r>
  <r>
    <n v="5"/>
    <n v="10"/>
    <n v="4"/>
    <n v="7"/>
    <n v="5"/>
  </r>
  <r>
    <n v="8"/>
    <n v="5"/>
    <n v="3"/>
    <n v="8"/>
    <n v="1"/>
  </r>
  <r>
    <n v="1"/>
    <n v="9"/>
    <n v="4"/>
    <n v="9"/>
    <n v="10"/>
  </r>
  <r>
    <n v="2"/>
    <n v="2"/>
    <n v="6"/>
    <n v="1"/>
    <n v="5"/>
  </r>
  <r>
    <n v="9"/>
    <n v="2"/>
    <n v="2"/>
    <n v="5"/>
    <n v="10"/>
  </r>
  <r>
    <n v="10"/>
    <n v="5"/>
    <n v="3"/>
    <n v="1"/>
    <n v="5"/>
  </r>
  <r>
    <n v="5"/>
    <n v="5"/>
    <n v="7"/>
    <n v="3"/>
    <n v="10"/>
  </r>
  <r>
    <n v="8"/>
    <n v="1"/>
    <n v="1"/>
    <n v="10"/>
    <n v="8"/>
  </r>
  <r>
    <n v="6"/>
    <n v="7"/>
    <n v="9"/>
    <n v="7"/>
    <n v="9"/>
  </r>
  <r>
    <n v="8"/>
    <n v="2"/>
    <n v="7"/>
    <n v="2"/>
    <n v="3"/>
  </r>
  <r>
    <n v="5"/>
    <n v="10"/>
    <n v="10"/>
    <n v="3"/>
    <n v="2"/>
  </r>
  <r>
    <n v="6"/>
    <n v="8"/>
    <n v="8"/>
    <n v="6"/>
    <n v="3"/>
  </r>
  <r>
    <n v="1"/>
    <n v="8"/>
    <n v="3"/>
    <n v="7"/>
    <n v="8"/>
  </r>
  <r>
    <n v="1"/>
    <n v="1"/>
    <n v="1"/>
    <n v="10"/>
    <n v="5"/>
  </r>
  <r>
    <n v="4"/>
    <n v="2"/>
    <n v="8"/>
    <n v="4"/>
    <n v="1"/>
  </r>
  <r>
    <n v="9"/>
    <n v="8"/>
    <n v="4"/>
    <n v="8"/>
    <n v="7"/>
  </r>
  <r>
    <n v="9"/>
    <n v="5"/>
    <n v="8"/>
    <n v="7"/>
    <n v="2"/>
  </r>
  <r>
    <n v="5"/>
    <n v="3"/>
    <n v="9"/>
    <n v="6"/>
    <n v="3"/>
  </r>
  <r>
    <n v="9"/>
    <n v="4"/>
    <n v="4"/>
    <n v="5"/>
    <n v="6"/>
  </r>
  <r>
    <n v="7"/>
    <n v="3"/>
    <n v="8"/>
    <n v="1"/>
    <n v="10"/>
  </r>
  <r>
    <n v="5"/>
    <n v="7"/>
    <n v="4"/>
    <n v="6"/>
    <n v="1"/>
  </r>
  <r>
    <n v="8"/>
    <n v="6"/>
    <n v="8"/>
    <n v="9"/>
    <n v="7"/>
  </r>
  <r>
    <n v="6"/>
    <n v="7"/>
    <n v="5"/>
    <n v="3"/>
    <n v="2"/>
  </r>
  <r>
    <n v="6"/>
    <n v="7"/>
    <n v="7"/>
    <n v="4"/>
    <n v="10"/>
  </r>
  <r>
    <n v="2"/>
    <n v="1"/>
    <n v="1"/>
    <n v="1"/>
    <n v="1"/>
  </r>
  <r>
    <n v="10"/>
    <n v="1"/>
    <n v="4"/>
    <n v="1"/>
    <n v="3"/>
  </r>
  <r>
    <n v="9"/>
    <n v="4"/>
    <n v="5"/>
    <n v="4"/>
    <n v="4"/>
  </r>
  <r>
    <n v="3"/>
    <n v="7"/>
    <n v="10"/>
    <n v="3"/>
    <n v="1"/>
  </r>
  <r>
    <n v="2"/>
    <n v="4"/>
    <n v="3"/>
    <n v="9"/>
    <n v="3"/>
  </r>
  <r>
    <n v="1"/>
    <n v="2"/>
    <n v="1"/>
    <n v="2"/>
    <n v="8"/>
  </r>
  <r>
    <n v="6"/>
    <n v="10"/>
    <n v="2"/>
    <n v="8"/>
    <n v="3"/>
  </r>
  <r>
    <n v="7"/>
    <n v="6"/>
    <n v="9"/>
    <n v="4"/>
    <n v="9"/>
  </r>
  <r>
    <n v="4"/>
    <n v="3"/>
    <n v="5"/>
    <n v="7"/>
    <n v="8"/>
  </r>
  <r>
    <n v="9"/>
    <n v="6"/>
    <n v="10"/>
    <n v="3"/>
    <n v="3"/>
  </r>
  <r>
    <n v="2"/>
    <n v="10"/>
    <n v="5"/>
    <n v="5"/>
    <n v="1"/>
  </r>
  <r>
    <n v="5"/>
    <n v="1"/>
    <n v="5"/>
    <n v="9"/>
    <n v="2"/>
  </r>
  <r>
    <n v="6"/>
    <n v="8"/>
    <n v="1"/>
    <n v="4"/>
    <n v="4"/>
  </r>
  <r>
    <n v="1"/>
    <n v="3"/>
    <n v="7"/>
    <n v="8"/>
    <n v="7"/>
  </r>
  <r>
    <n v="8"/>
    <n v="5"/>
    <n v="4"/>
    <n v="1"/>
    <n v="7"/>
  </r>
  <r>
    <n v="1"/>
    <n v="4"/>
    <n v="7"/>
    <n v="7"/>
    <n v="6"/>
  </r>
  <r>
    <n v="9"/>
    <n v="9"/>
    <n v="7"/>
    <n v="5"/>
    <n v="4"/>
  </r>
  <r>
    <n v="8"/>
    <n v="7"/>
    <n v="3"/>
    <n v="5"/>
    <n v="1"/>
  </r>
  <r>
    <n v="3"/>
    <n v="2"/>
    <n v="5"/>
    <n v="2"/>
    <n v="8"/>
  </r>
  <r>
    <n v="3"/>
    <n v="1"/>
    <n v="1"/>
    <n v="5"/>
    <n v="9"/>
  </r>
  <r>
    <n v="1"/>
    <n v="8"/>
    <n v="7"/>
    <n v="10"/>
    <n v="9"/>
  </r>
  <r>
    <n v="1"/>
    <n v="2"/>
    <n v="1"/>
    <n v="3"/>
    <n v="9"/>
  </r>
  <r>
    <n v="2"/>
    <n v="7"/>
    <n v="10"/>
    <n v="7"/>
    <n v="9"/>
  </r>
  <r>
    <n v="4"/>
    <n v="9"/>
    <n v="1"/>
    <n v="7"/>
    <n v="7"/>
  </r>
  <r>
    <n v="7"/>
    <n v="5"/>
    <n v="10"/>
    <n v="5"/>
    <n v="4"/>
  </r>
  <r>
    <n v="9"/>
    <n v="1"/>
    <n v="6"/>
    <n v="4"/>
    <n v="1"/>
  </r>
  <r>
    <n v="9"/>
    <n v="4"/>
    <n v="6"/>
    <n v="3"/>
    <n v="7"/>
  </r>
  <r>
    <n v="1"/>
    <n v="7"/>
    <n v="9"/>
    <n v="4"/>
    <n v="3"/>
  </r>
  <r>
    <n v="3"/>
    <n v="3"/>
    <n v="10"/>
    <n v="1"/>
    <n v="7"/>
  </r>
  <r>
    <n v="4"/>
    <n v="3"/>
    <n v="1"/>
    <n v="6"/>
    <n v="7"/>
  </r>
  <r>
    <n v="5"/>
    <n v="10"/>
    <n v="7"/>
    <n v="8"/>
    <n v="5"/>
  </r>
  <r>
    <n v="1"/>
    <n v="5"/>
    <n v="8"/>
    <n v="6"/>
    <n v="8"/>
  </r>
  <r>
    <n v="7"/>
    <n v="8"/>
    <n v="10"/>
    <n v="1"/>
    <n v="3"/>
  </r>
  <r>
    <n v="2"/>
    <n v="3"/>
    <n v="7"/>
    <n v="5"/>
    <n v="10"/>
  </r>
  <r>
    <n v="6"/>
    <n v="1"/>
    <n v="9"/>
    <n v="1"/>
    <n v="9"/>
  </r>
  <r>
    <n v="2"/>
    <n v="2"/>
    <n v="1"/>
    <n v="9"/>
    <n v="5"/>
  </r>
  <r>
    <n v="4"/>
    <n v="5"/>
    <n v="9"/>
    <n v="6"/>
    <n v="1"/>
  </r>
  <r>
    <n v="4"/>
    <n v="8"/>
    <n v="7"/>
    <n v="4"/>
    <n v="5"/>
  </r>
  <r>
    <n v="10"/>
    <n v="5"/>
    <n v="4"/>
    <n v="10"/>
    <n v="10"/>
  </r>
  <r>
    <n v="4"/>
    <n v="8"/>
    <n v="9"/>
    <n v="4"/>
    <n v="2"/>
  </r>
  <r>
    <n v="2"/>
    <n v="10"/>
    <n v="3"/>
    <n v="5"/>
    <n v="2"/>
  </r>
  <r>
    <n v="3"/>
    <n v="2"/>
    <n v="9"/>
    <n v="9"/>
    <n v="3"/>
  </r>
  <r>
    <n v="5"/>
    <n v="9"/>
    <n v="8"/>
    <n v="4"/>
    <n v="6"/>
  </r>
  <r>
    <n v="8"/>
    <n v="7"/>
    <n v="6"/>
    <n v="4"/>
    <n v="6"/>
  </r>
  <r>
    <n v="1"/>
    <n v="2"/>
    <n v="1"/>
    <n v="4"/>
    <n v="9"/>
  </r>
  <r>
    <n v="3"/>
    <n v="3"/>
    <n v="6"/>
    <n v="5"/>
    <n v="3"/>
  </r>
  <r>
    <n v="5"/>
    <n v="4"/>
    <n v="4"/>
    <n v="4"/>
    <n v="10"/>
  </r>
  <r>
    <n v="9"/>
    <n v="7"/>
    <n v="4"/>
    <n v="2"/>
    <n v="8"/>
  </r>
  <r>
    <n v="4"/>
    <n v="2"/>
    <n v="6"/>
    <n v="9"/>
    <n v="4"/>
  </r>
  <r>
    <n v="4"/>
    <n v="5"/>
    <n v="5"/>
    <n v="7"/>
    <n v="5"/>
  </r>
  <r>
    <n v="2"/>
    <n v="7"/>
    <n v="10"/>
    <n v="9"/>
    <n v="6"/>
  </r>
  <r>
    <n v="1"/>
    <n v="4"/>
    <n v="4"/>
    <n v="9"/>
    <n v="4"/>
  </r>
  <r>
    <n v="4"/>
    <n v="3"/>
    <n v="8"/>
    <n v="8"/>
    <n v="7"/>
  </r>
  <r>
    <n v="3"/>
    <n v="3"/>
    <n v="9"/>
    <n v="1"/>
    <n v="3"/>
  </r>
  <r>
    <n v="8"/>
    <n v="5"/>
    <n v="2"/>
    <n v="7"/>
    <n v="2"/>
  </r>
  <r>
    <n v="4"/>
    <n v="5"/>
    <n v="5"/>
    <n v="5"/>
    <n v="1"/>
  </r>
  <r>
    <n v="2"/>
    <n v="7"/>
    <n v="5"/>
    <n v="9"/>
    <n v="9"/>
  </r>
  <r>
    <n v="9"/>
    <n v="7"/>
    <n v="6"/>
    <n v="5"/>
    <n v="8"/>
  </r>
  <r>
    <n v="7"/>
    <n v="6"/>
    <n v="5"/>
    <n v="9"/>
    <n v="7"/>
  </r>
  <r>
    <n v="3"/>
    <n v="6"/>
    <n v="10"/>
    <n v="2"/>
    <n v="7"/>
  </r>
  <r>
    <n v="10"/>
    <n v="8"/>
    <n v="2"/>
    <n v="10"/>
    <n v="4"/>
  </r>
  <r>
    <n v="6"/>
    <n v="8"/>
    <n v="9"/>
    <n v="1"/>
    <n v="3"/>
  </r>
  <r>
    <n v="9"/>
    <n v="5"/>
    <n v="6"/>
    <n v="9"/>
    <n v="7"/>
  </r>
  <r>
    <n v="6"/>
    <n v="4"/>
    <n v="9"/>
    <n v="2"/>
    <n v="2"/>
  </r>
  <r>
    <n v="8"/>
    <n v="4"/>
    <n v="8"/>
    <n v="5"/>
    <n v="10"/>
  </r>
  <r>
    <n v="7"/>
    <n v="1"/>
    <n v="10"/>
    <n v="6"/>
    <n v="4"/>
  </r>
  <r>
    <n v="2"/>
    <n v="1"/>
    <n v="3"/>
    <n v="5"/>
    <n v="6"/>
  </r>
  <r>
    <n v="8"/>
    <n v="8"/>
    <n v="7"/>
    <n v="3"/>
    <n v="7"/>
  </r>
  <r>
    <n v="8"/>
    <n v="10"/>
    <n v="2"/>
    <n v="4"/>
    <n v="6"/>
  </r>
  <r>
    <n v="2"/>
    <n v="10"/>
    <n v="10"/>
    <n v="4"/>
    <n v="4"/>
  </r>
  <r>
    <n v="9"/>
    <n v="8"/>
    <n v="4"/>
    <n v="10"/>
    <n v="3"/>
  </r>
  <r>
    <n v="5"/>
    <n v="5"/>
    <n v="6"/>
    <n v="7"/>
    <n v="2"/>
  </r>
  <r>
    <n v="3"/>
    <n v="1"/>
    <n v="9"/>
    <n v="5"/>
    <n v="3"/>
  </r>
  <r>
    <n v="4"/>
    <n v="3"/>
    <n v="6"/>
    <n v="9"/>
    <n v="8"/>
  </r>
  <r>
    <n v="3"/>
    <n v="7"/>
    <n v="4"/>
    <n v="10"/>
    <n v="3"/>
  </r>
  <r>
    <n v="8"/>
    <n v="5"/>
    <n v="5"/>
    <n v="1"/>
    <n v="1"/>
  </r>
  <r>
    <n v="2"/>
    <n v="4"/>
    <n v="2"/>
    <n v="7"/>
    <n v="8"/>
  </r>
  <r>
    <n v="9"/>
    <n v="8"/>
    <n v="4"/>
    <n v="2"/>
    <n v="5"/>
  </r>
  <r>
    <n v="5"/>
    <n v="4"/>
    <n v="8"/>
    <n v="8"/>
    <n v="4"/>
  </r>
  <r>
    <n v="6"/>
    <n v="8"/>
    <n v="7"/>
    <n v="3"/>
    <n v="3"/>
  </r>
  <r>
    <n v="8"/>
    <n v="1"/>
    <n v="1"/>
    <n v="1"/>
    <n v="2"/>
  </r>
  <r>
    <n v="10"/>
    <n v="5"/>
    <n v="6"/>
    <n v="9"/>
    <n v="1"/>
  </r>
  <r>
    <n v="3"/>
    <n v="6"/>
    <n v="4"/>
    <n v="5"/>
    <n v="10"/>
  </r>
  <r>
    <n v="5"/>
    <n v="7"/>
    <n v="10"/>
    <n v="2"/>
    <n v="4"/>
  </r>
  <r>
    <n v="9"/>
    <n v="2"/>
    <n v="2"/>
    <n v="1"/>
    <n v="1"/>
  </r>
  <r>
    <n v="3"/>
    <n v="7"/>
    <n v="5"/>
    <n v="5"/>
    <n v="7"/>
  </r>
  <r>
    <n v="2"/>
    <n v="7"/>
    <n v="10"/>
    <n v="2"/>
    <n v="9"/>
  </r>
  <r>
    <n v="6"/>
    <n v="1"/>
    <n v="3"/>
    <n v="10"/>
    <n v="3"/>
  </r>
  <r>
    <n v="3"/>
    <n v="8"/>
    <n v="1"/>
    <n v="1"/>
    <n v="10"/>
  </r>
  <r>
    <n v="8"/>
    <n v="1"/>
    <n v="9"/>
    <n v="1"/>
    <n v="9"/>
  </r>
  <r>
    <n v="10"/>
    <n v="8"/>
    <n v="6"/>
    <n v="10"/>
    <n v="8"/>
  </r>
  <r>
    <n v="8"/>
    <n v="9"/>
    <n v="10"/>
    <n v="3"/>
    <n v="4"/>
  </r>
  <r>
    <n v="2"/>
    <n v="9"/>
    <n v="1"/>
    <n v="1"/>
    <n v="7"/>
  </r>
  <r>
    <n v="5"/>
    <n v="2"/>
    <n v="3"/>
    <n v="9"/>
    <n v="7"/>
  </r>
  <r>
    <n v="9"/>
    <n v="1"/>
    <n v="2"/>
    <n v="7"/>
    <n v="9"/>
  </r>
  <r>
    <n v="6"/>
    <n v="9"/>
    <n v="8"/>
    <n v="4"/>
    <n v="1"/>
  </r>
  <r>
    <n v="1"/>
    <n v="8"/>
    <n v="10"/>
    <n v="2"/>
    <n v="10"/>
  </r>
  <r>
    <n v="4"/>
    <n v="9"/>
    <n v="7"/>
    <n v="6"/>
    <n v="5"/>
  </r>
  <r>
    <n v="10"/>
    <n v="8"/>
    <n v="3"/>
    <n v="6"/>
    <n v="9"/>
  </r>
  <r>
    <n v="3"/>
    <n v="7"/>
    <n v="5"/>
    <n v="1"/>
    <n v="9"/>
  </r>
  <r>
    <n v="9"/>
    <n v="6"/>
    <n v="9"/>
    <n v="5"/>
    <n v="6"/>
  </r>
  <r>
    <n v="9"/>
    <n v="1"/>
    <n v="1"/>
    <n v="3"/>
    <n v="7"/>
  </r>
  <r>
    <n v="1"/>
    <n v="4"/>
    <n v="2"/>
    <n v="9"/>
    <n v="4"/>
  </r>
  <r>
    <n v="3"/>
    <n v="6"/>
    <n v="6"/>
    <n v="2"/>
    <n v="6"/>
  </r>
  <r>
    <n v="9"/>
    <n v="9"/>
    <n v="10"/>
    <n v="6"/>
    <n v="3"/>
  </r>
  <r>
    <n v="8"/>
    <n v="6"/>
    <n v="3"/>
    <n v="9"/>
    <n v="1"/>
  </r>
  <r>
    <n v="10"/>
    <n v="10"/>
    <n v="7"/>
    <n v="9"/>
    <n v="10"/>
  </r>
  <r>
    <n v="10"/>
    <n v="4"/>
    <n v="7"/>
    <n v="8"/>
    <n v="9"/>
  </r>
  <r>
    <n v="1"/>
    <n v="10"/>
    <n v="5"/>
    <n v="2"/>
    <n v="8"/>
  </r>
  <r>
    <n v="6"/>
    <n v="3"/>
    <n v="5"/>
    <n v="10"/>
    <n v="7"/>
  </r>
  <r>
    <n v="4"/>
    <n v="7"/>
    <n v="3"/>
    <n v="2"/>
    <n v="7"/>
  </r>
  <r>
    <n v="3"/>
    <n v="5"/>
    <n v="10"/>
    <n v="8"/>
    <n v="4"/>
  </r>
  <r>
    <n v="3"/>
    <n v="7"/>
    <n v="5"/>
    <n v="2"/>
    <n v="7"/>
  </r>
  <r>
    <n v="2"/>
    <n v="3"/>
    <n v="10"/>
    <n v="8"/>
    <n v="10"/>
  </r>
  <r>
    <n v="5"/>
    <n v="3"/>
    <n v="4"/>
    <n v="10"/>
    <n v="6"/>
  </r>
  <r>
    <n v="8"/>
    <n v="10"/>
    <n v="7"/>
    <n v="9"/>
    <n v="1"/>
  </r>
  <r>
    <n v="10"/>
    <n v="6"/>
    <n v="6"/>
    <n v="4"/>
    <n v="2"/>
  </r>
  <r>
    <n v="1"/>
    <n v="5"/>
    <n v="8"/>
    <n v="7"/>
    <n v="2"/>
  </r>
  <r>
    <n v="6"/>
    <n v="2"/>
    <n v="2"/>
    <n v="8"/>
    <n v="10"/>
  </r>
  <r>
    <n v="4"/>
    <n v="10"/>
    <n v="9"/>
    <n v="8"/>
    <n v="2"/>
  </r>
  <r>
    <n v="2"/>
    <n v="2"/>
    <n v="8"/>
    <n v="4"/>
    <n v="7"/>
  </r>
  <r>
    <n v="10"/>
    <n v="3"/>
    <n v="3"/>
    <n v="6"/>
    <n v="7"/>
  </r>
  <r>
    <n v="2"/>
    <n v="10"/>
    <n v="6"/>
    <n v="9"/>
    <n v="7"/>
  </r>
  <r>
    <n v="5"/>
    <n v="3"/>
    <n v="6"/>
    <n v="3"/>
    <n v="3"/>
  </r>
  <r>
    <n v="3"/>
    <n v="9"/>
    <n v="9"/>
    <n v="7"/>
    <n v="2"/>
  </r>
  <r>
    <n v="2"/>
    <n v="4"/>
    <n v="2"/>
    <n v="2"/>
    <n v="4"/>
  </r>
  <r>
    <n v="1"/>
    <n v="6"/>
    <n v="10"/>
    <n v="2"/>
    <n v="7"/>
  </r>
  <r>
    <n v="7"/>
    <n v="6"/>
    <n v="1"/>
    <n v="2"/>
    <n v="6"/>
  </r>
  <r>
    <n v="7"/>
    <n v="7"/>
    <n v="3"/>
    <n v="5"/>
    <n v="9"/>
  </r>
  <r>
    <n v="5"/>
    <n v="6"/>
    <n v="7"/>
    <n v="4"/>
    <n v="6"/>
  </r>
  <r>
    <n v="9"/>
    <n v="2"/>
    <n v="9"/>
    <n v="3"/>
    <n v="10"/>
  </r>
  <r>
    <n v="10"/>
    <n v="6"/>
    <n v="1"/>
    <n v="5"/>
    <n v="3"/>
  </r>
  <r>
    <n v="2"/>
    <n v="10"/>
    <n v="10"/>
    <n v="2"/>
    <n v="9"/>
  </r>
  <r>
    <n v="10"/>
    <n v="1"/>
    <n v="1"/>
    <n v="1"/>
    <n v="10"/>
  </r>
  <r>
    <n v="7"/>
    <n v="8"/>
    <n v="8"/>
    <n v="1"/>
    <n v="5"/>
  </r>
  <r>
    <n v="2"/>
    <n v="6"/>
    <n v="7"/>
    <n v="5"/>
    <n v="6"/>
  </r>
  <r>
    <n v="2"/>
    <n v="8"/>
    <n v="3"/>
    <n v="10"/>
    <n v="2"/>
  </r>
  <r>
    <n v="8"/>
    <n v="4"/>
    <n v="8"/>
    <n v="5"/>
    <n v="10"/>
  </r>
  <r>
    <n v="7"/>
    <n v="3"/>
    <n v="3"/>
    <n v="7"/>
    <n v="2"/>
  </r>
  <r>
    <n v="8"/>
    <n v="8"/>
    <n v="9"/>
    <n v="3"/>
    <n v="2"/>
  </r>
  <r>
    <n v="6"/>
    <n v="10"/>
    <n v="8"/>
    <n v="2"/>
    <n v="9"/>
  </r>
  <r>
    <n v="2"/>
    <n v="6"/>
    <n v="6"/>
    <n v="1"/>
    <n v="7"/>
  </r>
  <r>
    <n v="6"/>
    <n v="5"/>
    <n v="10"/>
    <n v="7"/>
    <n v="8"/>
  </r>
  <r>
    <n v="8"/>
    <n v="3"/>
    <n v="9"/>
    <n v="3"/>
    <n v="6"/>
  </r>
  <r>
    <n v="4"/>
    <n v="2"/>
    <n v="1"/>
    <n v="8"/>
    <n v="1"/>
  </r>
  <r>
    <n v="3"/>
    <n v="5"/>
    <n v="7"/>
    <n v="6"/>
    <n v="4"/>
  </r>
  <r>
    <n v="2"/>
    <n v="2"/>
    <n v="5"/>
    <n v="9"/>
    <n v="4"/>
  </r>
  <r>
    <n v="10"/>
    <n v="5"/>
    <n v="1"/>
    <n v="7"/>
    <n v="2"/>
  </r>
  <r>
    <n v="2"/>
    <n v="10"/>
    <n v="10"/>
    <n v="5"/>
    <n v="5"/>
  </r>
  <r>
    <n v="6"/>
    <n v="4"/>
    <n v="9"/>
    <n v="1"/>
    <n v="10"/>
  </r>
  <r>
    <n v="1"/>
    <n v="1"/>
    <n v="9"/>
    <n v="8"/>
    <n v="7"/>
  </r>
  <r>
    <n v="8"/>
    <n v="5"/>
    <n v="5"/>
    <n v="6"/>
    <n v="1"/>
  </r>
  <r>
    <n v="9"/>
    <n v="8"/>
    <n v="9"/>
    <n v="2"/>
    <n v="8"/>
  </r>
  <r>
    <n v="9"/>
    <n v="5"/>
    <n v="8"/>
    <n v="9"/>
    <n v="3"/>
  </r>
  <r>
    <n v="10"/>
    <n v="10"/>
    <n v="1"/>
    <n v="6"/>
    <n v="1"/>
  </r>
  <r>
    <n v="3"/>
    <n v="10"/>
    <n v="8"/>
    <n v="6"/>
    <n v="8"/>
  </r>
  <r>
    <n v="6"/>
    <n v="8"/>
    <n v="3"/>
    <n v="9"/>
    <n v="5"/>
  </r>
  <r>
    <n v="6"/>
    <n v="6"/>
    <n v="3"/>
    <n v="4"/>
    <n v="3"/>
  </r>
  <r>
    <n v="6"/>
    <n v="3"/>
    <n v="4"/>
    <n v="10"/>
    <n v="4"/>
  </r>
  <r>
    <n v="4"/>
    <n v="6"/>
    <n v="7"/>
    <n v="10"/>
    <n v="10"/>
  </r>
  <r>
    <n v="3"/>
    <n v="1"/>
    <n v="6"/>
    <n v="4"/>
    <n v="1"/>
  </r>
  <r>
    <n v="2"/>
    <n v="3"/>
    <n v="9"/>
    <n v="5"/>
    <n v="10"/>
  </r>
  <r>
    <n v="3"/>
    <n v="3"/>
    <n v="8"/>
    <n v="2"/>
    <n v="8"/>
  </r>
  <r>
    <n v="2"/>
    <n v="8"/>
    <n v="10"/>
    <n v="3"/>
    <n v="9"/>
  </r>
  <r>
    <n v="7"/>
    <n v="1"/>
    <n v="6"/>
    <n v="6"/>
    <n v="1"/>
  </r>
  <r>
    <n v="8"/>
    <n v="10"/>
    <n v="4"/>
    <n v="2"/>
    <n v="4"/>
  </r>
  <r>
    <n v="3"/>
    <n v="2"/>
    <n v="10"/>
    <n v="10"/>
    <n v="3"/>
  </r>
  <r>
    <n v="1"/>
    <n v="10"/>
    <n v="6"/>
    <n v="5"/>
    <n v="9"/>
  </r>
  <r>
    <n v="4"/>
    <n v="1"/>
    <n v="7"/>
    <n v="6"/>
    <n v="8"/>
  </r>
  <r>
    <n v="7"/>
    <n v="2"/>
    <n v="2"/>
    <n v="10"/>
    <n v="7"/>
  </r>
  <r>
    <n v="1"/>
    <n v="5"/>
    <n v="7"/>
    <n v="4"/>
    <n v="5"/>
  </r>
  <r>
    <n v="3"/>
    <n v="4"/>
    <n v="4"/>
    <n v="8"/>
    <n v="8"/>
  </r>
  <r>
    <n v="1"/>
    <n v="7"/>
    <n v="7"/>
    <n v="10"/>
    <n v="8"/>
  </r>
  <r>
    <n v="5"/>
    <n v="2"/>
    <n v="6"/>
    <n v="8"/>
    <n v="9"/>
  </r>
  <r>
    <n v="8"/>
    <n v="3"/>
    <n v="6"/>
    <n v="9"/>
    <n v="10"/>
  </r>
  <r>
    <n v="5"/>
    <n v="2"/>
    <n v="6"/>
    <n v="5"/>
    <n v="9"/>
  </r>
  <r>
    <n v="5"/>
    <n v="8"/>
    <n v="1"/>
    <n v="7"/>
    <n v="4"/>
  </r>
  <r>
    <n v="8"/>
    <n v="5"/>
    <n v="5"/>
    <n v="8"/>
    <n v="2"/>
  </r>
  <r>
    <n v="7"/>
    <n v="6"/>
    <n v="5"/>
    <n v="6"/>
    <n v="10"/>
  </r>
  <r>
    <n v="4"/>
    <n v="5"/>
    <n v="2"/>
    <n v="3"/>
    <n v="7"/>
  </r>
  <r>
    <n v="7"/>
    <n v="5"/>
    <n v="7"/>
    <n v="3"/>
    <n v="5"/>
  </r>
  <r>
    <n v="8"/>
    <n v="2"/>
    <n v="8"/>
    <n v="5"/>
    <n v="2"/>
  </r>
  <r>
    <n v="3"/>
    <n v="10"/>
    <n v="7"/>
    <n v="8"/>
    <n v="7"/>
  </r>
  <r>
    <n v="2"/>
    <n v="3"/>
    <n v="10"/>
    <n v="10"/>
    <n v="2"/>
  </r>
  <r>
    <n v="5"/>
    <n v="8"/>
    <n v="1"/>
    <n v="1"/>
    <n v="10"/>
  </r>
  <r>
    <n v="5"/>
    <n v="4"/>
    <n v="10"/>
    <n v="8"/>
    <n v="8"/>
  </r>
  <r>
    <n v="7"/>
    <n v="4"/>
    <n v="1"/>
    <n v="7"/>
    <n v="1"/>
  </r>
  <r>
    <n v="5"/>
    <n v="8"/>
    <n v="7"/>
    <n v="7"/>
    <n v="9"/>
  </r>
  <r>
    <n v="2"/>
    <n v="6"/>
    <n v="4"/>
    <n v="4"/>
    <n v="4"/>
  </r>
  <r>
    <n v="10"/>
    <n v="6"/>
    <n v="10"/>
    <n v="7"/>
    <n v="7"/>
  </r>
  <r>
    <n v="4"/>
    <n v="9"/>
    <n v="8"/>
    <n v="5"/>
    <n v="2"/>
  </r>
  <r>
    <n v="5"/>
    <n v="5"/>
    <n v="7"/>
    <n v="10"/>
    <n v="2"/>
  </r>
  <r>
    <n v="10"/>
    <n v="6"/>
    <n v="2"/>
    <n v="9"/>
    <n v="9"/>
  </r>
  <r>
    <n v="5"/>
    <n v="4"/>
    <n v="2"/>
    <n v="7"/>
    <n v="10"/>
  </r>
  <r>
    <n v="2"/>
    <n v="2"/>
    <n v="1"/>
    <n v="2"/>
    <n v="7"/>
  </r>
  <r>
    <n v="5"/>
    <n v="3"/>
    <n v="2"/>
    <n v="4"/>
    <n v="8"/>
  </r>
  <r>
    <n v="6"/>
    <n v="2"/>
    <n v="5"/>
    <n v="8"/>
    <n v="2"/>
  </r>
  <r>
    <n v="2"/>
    <n v="5"/>
    <n v="7"/>
    <n v="10"/>
    <n v="3"/>
  </r>
  <r>
    <n v="6"/>
    <n v="10"/>
    <n v="3"/>
    <n v="4"/>
    <n v="5"/>
  </r>
  <r>
    <n v="5"/>
    <n v="5"/>
    <n v="2"/>
    <n v="9"/>
    <n v="3"/>
  </r>
  <r>
    <n v="6"/>
    <n v="4"/>
    <n v="5"/>
    <n v="10"/>
    <n v="8"/>
  </r>
  <r>
    <n v="10"/>
    <n v="2"/>
    <n v="6"/>
    <n v="9"/>
    <n v="9"/>
  </r>
  <r>
    <n v="9"/>
    <n v="3"/>
    <n v="7"/>
    <n v="7"/>
    <n v="10"/>
  </r>
  <r>
    <n v="7"/>
    <n v="1"/>
    <n v="9"/>
    <n v="8"/>
    <n v="8"/>
  </r>
  <r>
    <n v="8"/>
    <n v="4"/>
    <n v="8"/>
    <n v="6"/>
    <n v="10"/>
  </r>
  <r>
    <n v="9"/>
    <n v="9"/>
    <n v="3"/>
    <n v="7"/>
    <n v="6"/>
  </r>
  <r>
    <n v="9"/>
    <n v="5"/>
    <n v="3"/>
    <n v="9"/>
    <n v="6"/>
  </r>
  <r>
    <n v="9"/>
    <n v="3"/>
    <n v="6"/>
    <n v="6"/>
    <n v="7"/>
  </r>
  <r>
    <n v="2"/>
    <n v="8"/>
    <n v="10"/>
    <n v="2"/>
    <n v="3"/>
  </r>
  <r>
    <n v="10"/>
    <n v="6"/>
    <n v="6"/>
    <n v="4"/>
    <n v="2"/>
  </r>
  <r>
    <n v="7"/>
    <n v="8"/>
    <n v="4"/>
    <n v="3"/>
    <n v="2"/>
  </r>
  <r>
    <n v="6"/>
    <n v="6"/>
    <n v="9"/>
    <n v="1"/>
    <n v="9"/>
  </r>
  <r>
    <n v="3"/>
    <n v="3"/>
    <n v="7"/>
    <n v="1"/>
    <n v="4"/>
  </r>
  <r>
    <n v="6"/>
    <n v="7"/>
    <n v="6"/>
    <n v="7"/>
    <n v="9"/>
  </r>
  <r>
    <n v="1"/>
    <n v="2"/>
    <n v="4"/>
    <n v="5"/>
    <n v="5"/>
  </r>
  <r>
    <n v="5"/>
    <n v="8"/>
    <n v="2"/>
    <n v="1"/>
    <n v="6"/>
  </r>
  <r>
    <n v="9"/>
    <n v="10"/>
    <n v="1"/>
    <n v="6"/>
    <n v="4"/>
  </r>
  <r>
    <n v="8"/>
    <n v="9"/>
    <n v="7"/>
    <n v="3"/>
    <n v="2"/>
  </r>
  <r>
    <n v="5"/>
    <n v="2"/>
    <n v="3"/>
    <n v="9"/>
    <n v="5"/>
  </r>
  <r>
    <n v="7"/>
    <n v="9"/>
    <n v="10"/>
    <n v="4"/>
    <n v="7"/>
  </r>
  <r>
    <n v="5"/>
    <n v="8"/>
    <n v="2"/>
    <n v="10"/>
    <n v="10"/>
  </r>
  <r>
    <n v="4"/>
    <n v="2"/>
    <n v="9"/>
    <n v="3"/>
    <n v="3"/>
  </r>
  <r>
    <n v="2"/>
    <n v="5"/>
    <n v="8"/>
    <n v="4"/>
    <n v="8"/>
  </r>
  <r>
    <n v="2"/>
    <n v="6"/>
    <n v="1"/>
    <n v="9"/>
    <n v="2"/>
  </r>
  <r>
    <n v="9"/>
    <n v="10"/>
    <n v="3"/>
    <n v="7"/>
    <n v="3"/>
  </r>
  <r>
    <n v="9"/>
    <n v="4"/>
    <n v="9"/>
    <n v="8"/>
    <n v="3"/>
  </r>
  <r>
    <n v="4"/>
    <n v="6"/>
    <n v="8"/>
    <n v="1"/>
    <n v="7"/>
  </r>
  <r>
    <n v="3"/>
    <n v="3"/>
    <n v="1"/>
    <n v="9"/>
    <n v="1"/>
  </r>
  <r>
    <n v="9"/>
    <n v="1"/>
    <n v="8"/>
    <n v="6"/>
    <n v="3"/>
  </r>
  <r>
    <n v="5"/>
    <n v="8"/>
    <n v="8"/>
    <n v="2"/>
    <n v="2"/>
  </r>
  <r>
    <n v="2"/>
    <n v="8"/>
    <n v="6"/>
    <n v="2"/>
    <n v="10"/>
  </r>
  <r>
    <n v="3"/>
    <n v="7"/>
    <n v="9"/>
    <n v="10"/>
    <n v="2"/>
  </r>
  <r>
    <n v="3"/>
    <n v="7"/>
    <n v="1"/>
    <n v="6"/>
    <n v="1"/>
  </r>
  <r>
    <n v="2"/>
    <n v="8"/>
    <n v="5"/>
    <n v="7"/>
    <n v="5"/>
  </r>
  <r>
    <n v="10"/>
    <n v="5"/>
    <n v="2"/>
    <n v="6"/>
    <n v="7"/>
  </r>
  <r>
    <n v="10"/>
    <n v="1"/>
    <n v="3"/>
    <n v="9"/>
    <n v="8"/>
  </r>
  <r>
    <n v="1"/>
    <n v="10"/>
    <n v="5"/>
    <n v="5"/>
    <n v="1"/>
  </r>
  <r>
    <n v="6"/>
    <n v="2"/>
    <n v="10"/>
    <n v="7"/>
    <n v="4"/>
  </r>
  <r>
    <n v="10"/>
    <n v="9"/>
    <n v="10"/>
    <n v="5"/>
    <n v="4"/>
  </r>
  <r>
    <n v="4"/>
    <n v="8"/>
    <n v="1"/>
    <n v="7"/>
    <n v="6"/>
  </r>
  <r>
    <n v="6"/>
    <n v="4"/>
    <n v="1"/>
    <n v="3"/>
    <n v="5"/>
  </r>
  <r>
    <n v="9"/>
    <n v="3"/>
    <n v="7"/>
    <n v="6"/>
    <n v="4"/>
  </r>
  <r>
    <n v="2"/>
    <n v="2"/>
    <n v="9"/>
    <n v="4"/>
    <n v="9"/>
  </r>
  <r>
    <n v="7"/>
    <n v="1"/>
    <n v="1"/>
    <n v="2"/>
    <n v="3"/>
  </r>
  <r>
    <n v="1"/>
    <n v="7"/>
    <n v="4"/>
    <n v="10"/>
    <n v="2"/>
  </r>
  <r>
    <n v="10"/>
    <n v="7"/>
    <n v="10"/>
    <n v="5"/>
    <n v="4"/>
  </r>
  <r>
    <n v="7"/>
    <n v="4"/>
    <n v="1"/>
    <n v="3"/>
    <n v="10"/>
  </r>
  <r>
    <n v="1"/>
    <n v="1"/>
    <n v="1"/>
    <n v="4"/>
    <n v="2"/>
  </r>
  <r>
    <n v="8"/>
    <n v="5"/>
    <n v="5"/>
    <n v="2"/>
    <n v="3"/>
  </r>
  <r>
    <n v="6"/>
    <n v="9"/>
    <n v="6"/>
    <n v="5"/>
    <n v="6"/>
  </r>
  <r>
    <n v="8"/>
    <n v="10"/>
    <n v="3"/>
    <n v="10"/>
    <n v="6"/>
  </r>
  <r>
    <n v="10"/>
    <n v="3"/>
    <n v="3"/>
    <n v="6"/>
    <n v="6"/>
  </r>
  <r>
    <n v="7"/>
    <n v="1"/>
    <n v="10"/>
    <n v="2"/>
    <n v="2"/>
  </r>
  <r>
    <n v="10"/>
    <n v="4"/>
    <n v="10"/>
    <n v="9"/>
    <n v="5"/>
  </r>
  <r>
    <n v="9"/>
    <n v="3"/>
    <n v="5"/>
    <n v="3"/>
    <n v="2"/>
  </r>
  <r>
    <n v="3"/>
    <n v="7"/>
    <n v="6"/>
    <n v="2"/>
    <n v="4"/>
  </r>
  <r>
    <n v="10"/>
    <n v="6"/>
    <n v="7"/>
    <n v="5"/>
    <n v="2"/>
  </r>
  <r>
    <n v="2"/>
    <n v="8"/>
    <n v="2"/>
    <n v="10"/>
    <n v="6"/>
  </r>
  <r>
    <n v="3"/>
    <n v="4"/>
    <n v="4"/>
    <n v="1"/>
    <n v="5"/>
  </r>
  <r>
    <n v="2"/>
    <n v="7"/>
    <n v="10"/>
    <n v="9"/>
    <n v="10"/>
  </r>
  <r>
    <n v="9"/>
    <n v="7"/>
    <n v="10"/>
    <n v="10"/>
    <n v="7"/>
  </r>
  <r>
    <n v="1"/>
    <n v="3"/>
    <n v="3"/>
    <n v="7"/>
    <n v="2"/>
  </r>
  <r>
    <n v="10"/>
    <n v="1"/>
    <n v="4"/>
    <n v="4"/>
    <n v="9"/>
  </r>
  <r>
    <n v="6"/>
    <n v="8"/>
    <n v="3"/>
    <n v="6"/>
    <n v="5"/>
  </r>
  <r>
    <n v="1"/>
    <n v="1"/>
    <n v="10"/>
    <n v="4"/>
    <n v="3"/>
  </r>
  <r>
    <n v="4"/>
    <n v="8"/>
    <n v="4"/>
    <n v="5"/>
    <n v="10"/>
  </r>
  <r>
    <n v="4"/>
    <n v="2"/>
    <n v="5"/>
    <n v="7"/>
    <n v="4"/>
  </r>
  <r>
    <n v="6"/>
    <n v="1"/>
    <n v="5"/>
    <n v="6"/>
    <n v="5"/>
  </r>
  <r>
    <n v="6"/>
    <n v="5"/>
    <n v="1"/>
    <n v="2"/>
    <n v="9"/>
  </r>
  <r>
    <n v="2"/>
    <n v="5"/>
    <n v="9"/>
    <n v="2"/>
    <n v="8"/>
  </r>
  <r>
    <n v="9"/>
    <n v="10"/>
    <n v="4"/>
    <n v="4"/>
    <n v="5"/>
  </r>
  <r>
    <n v="1"/>
    <n v="9"/>
    <n v="2"/>
    <n v="3"/>
    <n v="9"/>
  </r>
  <r>
    <n v="1"/>
    <n v="10"/>
    <n v="5"/>
    <n v="7"/>
    <n v="5"/>
  </r>
  <r>
    <n v="3"/>
    <n v="1"/>
    <n v="7"/>
    <n v="1"/>
    <n v="5"/>
  </r>
  <r>
    <n v="6"/>
    <n v="3"/>
    <n v="4"/>
    <n v="1"/>
    <n v="2"/>
  </r>
  <r>
    <n v="7"/>
    <n v="5"/>
    <n v="3"/>
    <n v="1"/>
    <n v="1"/>
  </r>
  <r>
    <n v="7"/>
    <n v="3"/>
    <n v="6"/>
    <n v="8"/>
    <n v="6"/>
  </r>
  <r>
    <n v="4"/>
    <n v="8"/>
    <n v="4"/>
    <n v="10"/>
    <n v="8"/>
  </r>
  <r>
    <n v="2"/>
    <n v="1"/>
    <n v="1"/>
    <n v="4"/>
    <n v="1"/>
  </r>
  <r>
    <n v="7"/>
    <n v="9"/>
    <n v="6"/>
    <n v="6"/>
    <n v="8"/>
  </r>
  <r>
    <n v="10"/>
    <n v="10"/>
    <n v="4"/>
    <n v="4"/>
    <n v="9"/>
  </r>
  <r>
    <n v="6"/>
    <n v="6"/>
    <n v="2"/>
    <n v="4"/>
    <n v="7"/>
  </r>
  <r>
    <n v="8"/>
    <n v="3"/>
    <n v="5"/>
    <n v="3"/>
    <n v="3"/>
  </r>
  <r>
    <n v="3"/>
    <n v="9"/>
    <n v="9"/>
    <n v="5"/>
    <n v="9"/>
  </r>
  <r>
    <n v="7"/>
    <n v="9"/>
    <n v="2"/>
    <n v="3"/>
    <n v="4"/>
  </r>
  <r>
    <n v="6"/>
    <n v="8"/>
    <n v="2"/>
    <n v="6"/>
    <n v="7"/>
  </r>
  <r>
    <n v="10"/>
    <n v="8"/>
    <n v="7"/>
    <n v="5"/>
    <n v="5"/>
  </r>
  <r>
    <n v="10"/>
    <n v="9"/>
    <n v="3"/>
    <n v="2"/>
    <n v="2"/>
  </r>
  <r>
    <n v="8"/>
    <n v="1"/>
    <n v="2"/>
    <n v="3"/>
    <n v="10"/>
  </r>
  <r>
    <n v="1"/>
    <n v="10"/>
    <n v="7"/>
    <n v="2"/>
    <n v="1"/>
  </r>
  <r>
    <n v="4"/>
    <n v="10"/>
    <n v="1"/>
    <n v="3"/>
    <n v="10"/>
  </r>
  <r>
    <n v="6"/>
    <n v="10"/>
    <n v="4"/>
    <n v="8"/>
    <n v="2"/>
  </r>
  <r>
    <n v="10"/>
    <n v="5"/>
    <n v="2"/>
    <n v="3"/>
    <n v="6"/>
  </r>
  <r>
    <n v="3"/>
    <n v="5"/>
    <n v="5"/>
    <n v="10"/>
    <n v="7"/>
  </r>
  <r>
    <n v="4"/>
    <n v="6"/>
    <n v="9"/>
    <n v="9"/>
    <n v="1"/>
  </r>
  <r>
    <n v="7"/>
    <n v="5"/>
    <n v="3"/>
    <n v="1"/>
    <n v="3"/>
  </r>
  <r>
    <n v="4"/>
    <n v="2"/>
    <n v="4"/>
    <n v="6"/>
    <n v="9"/>
  </r>
  <r>
    <n v="1"/>
    <n v="9"/>
    <n v="10"/>
    <n v="4"/>
    <n v="4"/>
  </r>
  <r>
    <n v="1"/>
    <n v="7"/>
    <n v="4"/>
    <n v="6"/>
    <n v="10"/>
  </r>
  <r>
    <n v="9"/>
    <n v="8"/>
    <n v="7"/>
    <n v="7"/>
    <n v="2"/>
  </r>
  <r>
    <n v="2"/>
    <n v="6"/>
    <n v="4"/>
    <n v="8"/>
    <n v="6"/>
  </r>
  <r>
    <n v="4"/>
    <n v="9"/>
    <n v="1"/>
    <n v="5"/>
    <n v="1"/>
  </r>
  <r>
    <n v="8"/>
    <n v="7"/>
    <n v="3"/>
    <n v="9"/>
    <n v="6"/>
  </r>
  <r>
    <n v="9"/>
    <n v="10"/>
    <n v="9"/>
    <n v="7"/>
    <n v="7"/>
  </r>
  <r>
    <n v="8"/>
    <n v="1"/>
    <n v="3"/>
    <n v="3"/>
    <n v="5"/>
  </r>
  <r>
    <n v="9"/>
    <n v="6"/>
    <n v="6"/>
    <n v="3"/>
    <n v="8"/>
  </r>
  <r>
    <n v="9"/>
    <n v="10"/>
    <n v="9"/>
    <n v="2"/>
    <n v="9"/>
  </r>
  <r>
    <n v="4"/>
    <n v="3"/>
    <n v="2"/>
    <n v="4"/>
    <n v="6"/>
  </r>
  <r>
    <n v="8"/>
    <n v="7"/>
    <n v="6"/>
    <n v="7"/>
    <n v="2"/>
  </r>
  <r>
    <n v="6"/>
    <n v="5"/>
    <n v="4"/>
    <n v="7"/>
    <n v="5"/>
  </r>
  <r>
    <n v="5"/>
    <n v="8"/>
    <n v="1"/>
    <n v="3"/>
    <n v="7"/>
  </r>
  <r>
    <n v="7"/>
    <n v="8"/>
    <n v="2"/>
    <n v="3"/>
    <n v="9"/>
  </r>
  <r>
    <n v="10"/>
    <n v="2"/>
    <n v="1"/>
    <n v="8"/>
    <n v="8"/>
  </r>
  <r>
    <n v="1"/>
    <n v="7"/>
    <n v="3"/>
    <n v="10"/>
    <n v="5"/>
  </r>
  <r>
    <n v="7"/>
    <n v="5"/>
    <n v="7"/>
    <n v="8"/>
    <n v="2"/>
  </r>
  <r>
    <n v="3"/>
    <n v="4"/>
    <n v="2"/>
    <n v="2"/>
    <n v="5"/>
  </r>
  <r>
    <n v="1"/>
    <n v="6"/>
    <n v="1"/>
    <n v="1"/>
    <n v="9"/>
  </r>
  <r>
    <n v="9"/>
    <n v="2"/>
    <n v="5"/>
    <n v="5"/>
    <n v="6"/>
  </r>
  <r>
    <n v="5"/>
    <n v="7"/>
    <n v="1"/>
    <n v="3"/>
    <n v="8"/>
  </r>
  <r>
    <n v="6"/>
    <n v="1"/>
    <n v="9"/>
    <n v="3"/>
    <n v="5"/>
  </r>
  <r>
    <n v="5"/>
    <n v="9"/>
    <n v="7"/>
    <n v="10"/>
    <n v="2"/>
  </r>
  <r>
    <n v="10"/>
    <n v="3"/>
    <n v="3"/>
    <n v="8"/>
    <n v="4"/>
  </r>
  <r>
    <n v="2"/>
    <n v="5"/>
    <n v="1"/>
    <n v="7"/>
    <n v="2"/>
  </r>
  <r>
    <n v="2"/>
    <n v="4"/>
    <n v="9"/>
    <n v="4"/>
    <n v="1"/>
  </r>
  <r>
    <n v="7"/>
    <n v="8"/>
    <n v="7"/>
    <n v="1"/>
    <n v="4"/>
  </r>
  <r>
    <n v="6"/>
    <n v="10"/>
    <n v="8"/>
    <n v="5"/>
    <n v="4"/>
  </r>
  <r>
    <n v="1"/>
    <n v="5"/>
    <n v="4"/>
    <n v="9"/>
    <n v="2"/>
  </r>
  <r>
    <n v="10"/>
    <n v="1"/>
    <n v="9"/>
    <n v="7"/>
    <n v="9"/>
  </r>
  <r>
    <n v="4"/>
    <n v="4"/>
    <n v="5"/>
    <n v="2"/>
    <n v="6"/>
  </r>
  <r>
    <n v="2"/>
    <n v="6"/>
    <n v="3"/>
    <n v="4"/>
    <n v="7"/>
  </r>
  <r>
    <n v="5"/>
    <n v="3"/>
    <n v="1"/>
    <n v="5"/>
    <n v="7"/>
  </r>
  <r>
    <n v="2"/>
    <n v="10"/>
    <n v="10"/>
    <n v="9"/>
    <n v="3"/>
  </r>
  <r>
    <n v="1"/>
    <n v="9"/>
    <n v="5"/>
    <n v="9"/>
    <n v="7"/>
  </r>
  <r>
    <n v="9"/>
    <n v="10"/>
    <n v="6"/>
    <n v="8"/>
    <n v="8"/>
  </r>
  <r>
    <n v="2"/>
    <n v="8"/>
    <n v="5"/>
    <n v="5"/>
    <n v="1"/>
  </r>
  <r>
    <n v="6"/>
    <n v="5"/>
    <n v="1"/>
    <n v="7"/>
    <n v="4"/>
  </r>
  <r>
    <n v="10"/>
    <n v="2"/>
    <n v="8"/>
    <n v="3"/>
    <n v="2"/>
  </r>
  <r>
    <n v="4"/>
    <n v="6"/>
    <n v="2"/>
    <n v="10"/>
    <n v="8"/>
  </r>
  <r>
    <n v="3"/>
    <n v="4"/>
    <n v="10"/>
    <n v="7"/>
    <n v="8"/>
  </r>
  <r>
    <n v="7"/>
    <n v="8"/>
    <n v="6"/>
    <n v="3"/>
    <n v="1"/>
  </r>
  <r>
    <n v="9"/>
    <n v="10"/>
    <n v="3"/>
    <n v="3"/>
    <n v="3"/>
  </r>
  <r>
    <n v="2"/>
    <n v="4"/>
    <n v="10"/>
    <n v="8"/>
    <n v="1"/>
  </r>
  <r>
    <n v="8"/>
    <n v="10"/>
    <n v="1"/>
    <n v="4"/>
    <n v="7"/>
  </r>
  <r>
    <n v="10"/>
    <n v="4"/>
    <n v="2"/>
    <n v="3"/>
    <n v="9"/>
  </r>
  <r>
    <n v="8"/>
    <n v="9"/>
    <n v="8"/>
    <n v="3"/>
    <n v="9"/>
  </r>
  <r>
    <n v="1"/>
    <n v="6"/>
    <n v="6"/>
    <n v="5"/>
    <n v="7"/>
  </r>
  <r>
    <n v="7"/>
    <n v="2"/>
    <n v="8"/>
    <n v="2"/>
    <n v="4"/>
  </r>
  <r>
    <n v="10"/>
    <n v="4"/>
    <n v="10"/>
    <n v="1"/>
    <n v="2"/>
  </r>
  <r>
    <n v="3"/>
    <n v="1"/>
    <n v="10"/>
    <n v="4"/>
    <n v="4"/>
  </r>
  <r>
    <n v="3"/>
    <n v="10"/>
    <n v="3"/>
    <n v="3"/>
    <n v="1"/>
  </r>
  <r>
    <n v="8"/>
    <n v="8"/>
    <n v="6"/>
    <n v="10"/>
    <n v="4"/>
  </r>
  <r>
    <n v="6"/>
    <n v="9"/>
    <n v="2"/>
    <n v="10"/>
    <n v="6"/>
  </r>
  <r>
    <n v="8"/>
    <n v="1"/>
    <n v="3"/>
    <n v="7"/>
    <n v="8"/>
  </r>
  <r>
    <n v="10"/>
    <n v="7"/>
    <n v="2"/>
    <n v="6"/>
    <n v="1"/>
  </r>
  <r>
    <n v="1"/>
    <n v="4"/>
    <n v="6"/>
    <n v="8"/>
    <n v="2"/>
  </r>
  <r>
    <n v="9"/>
    <n v="5"/>
    <n v="3"/>
    <n v="2"/>
    <n v="3"/>
  </r>
  <r>
    <n v="6"/>
    <n v="10"/>
    <n v="4"/>
    <n v="9"/>
    <n v="8"/>
  </r>
  <r>
    <n v="5"/>
    <n v="3"/>
    <n v="1"/>
    <n v="9"/>
    <n v="7"/>
  </r>
  <r>
    <n v="7"/>
    <n v="7"/>
    <n v="2"/>
    <n v="6"/>
    <n v="7"/>
  </r>
  <r>
    <n v="10"/>
    <n v="1"/>
    <n v="9"/>
    <n v="7"/>
    <n v="1"/>
  </r>
  <r>
    <n v="10"/>
    <n v="5"/>
    <n v="3"/>
    <n v="8"/>
    <n v="10"/>
  </r>
  <r>
    <n v="3"/>
    <n v="9"/>
    <n v="10"/>
    <n v="2"/>
    <n v="10"/>
  </r>
  <r>
    <n v="2"/>
    <n v="4"/>
    <n v="6"/>
    <n v="7"/>
    <n v="4"/>
  </r>
  <r>
    <n v="10"/>
    <n v="9"/>
    <n v="9"/>
    <n v="2"/>
    <n v="3"/>
  </r>
  <r>
    <n v="7"/>
    <n v="1"/>
    <n v="2"/>
    <n v="10"/>
    <n v="4"/>
  </r>
  <r>
    <n v="7"/>
    <n v="1"/>
    <n v="9"/>
    <n v="8"/>
    <n v="6"/>
  </r>
  <r>
    <n v="1"/>
    <n v="2"/>
    <n v="3"/>
    <n v="10"/>
    <n v="9"/>
  </r>
  <r>
    <n v="10"/>
    <n v="5"/>
    <n v="5"/>
    <n v="7"/>
    <n v="9"/>
  </r>
  <r>
    <n v="10"/>
    <n v="4"/>
    <n v="2"/>
    <n v="7"/>
    <n v="9"/>
  </r>
  <r>
    <n v="10"/>
    <n v="9"/>
    <n v="8"/>
    <n v="8"/>
    <n v="3"/>
  </r>
  <r>
    <n v="1"/>
    <n v="2"/>
    <n v="1"/>
    <n v="2"/>
    <n v="5"/>
  </r>
  <r>
    <n v="1"/>
    <n v="2"/>
    <n v="4"/>
    <n v="6"/>
    <n v="9"/>
  </r>
  <r>
    <n v="9"/>
    <n v="1"/>
    <n v="7"/>
    <n v="7"/>
    <n v="6"/>
  </r>
  <r>
    <n v="6"/>
    <n v="6"/>
    <n v="6"/>
    <n v="6"/>
    <n v="9"/>
  </r>
  <r>
    <n v="10"/>
    <n v="5"/>
    <n v="1"/>
    <n v="7"/>
    <n v="1"/>
  </r>
  <r>
    <n v="9"/>
    <n v="9"/>
    <n v="7"/>
    <n v="4"/>
    <n v="9"/>
  </r>
  <r>
    <n v="10"/>
    <n v="10"/>
    <n v="4"/>
    <n v="3"/>
    <n v="10"/>
  </r>
  <r>
    <n v="9"/>
    <n v="5"/>
    <n v="9"/>
    <n v="3"/>
    <n v="4"/>
  </r>
  <r>
    <n v="10"/>
    <n v="7"/>
    <n v="1"/>
    <n v="10"/>
    <n v="6"/>
  </r>
  <r>
    <n v="5"/>
    <n v="5"/>
    <n v="6"/>
    <n v="2"/>
    <n v="1"/>
  </r>
  <r>
    <n v="8"/>
    <n v="10"/>
    <n v="3"/>
    <n v="1"/>
    <n v="9"/>
  </r>
  <r>
    <n v="3"/>
    <n v="8"/>
    <n v="7"/>
    <n v="9"/>
    <n v="4"/>
  </r>
  <r>
    <n v="10"/>
    <n v="6"/>
    <n v="2"/>
    <n v="3"/>
    <n v="2"/>
  </r>
  <r>
    <n v="5"/>
    <n v="3"/>
    <n v="6"/>
    <n v="10"/>
    <n v="8"/>
  </r>
  <r>
    <n v="8"/>
    <n v="4"/>
    <n v="3"/>
    <n v="3"/>
    <n v="6"/>
  </r>
  <r>
    <n v="3"/>
    <n v="8"/>
    <n v="6"/>
    <n v="1"/>
    <n v="2"/>
  </r>
  <r>
    <n v="9"/>
    <n v="9"/>
    <n v="5"/>
    <n v="10"/>
    <n v="2"/>
  </r>
  <r>
    <n v="2"/>
    <n v="9"/>
    <n v="3"/>
    <n v="9"/>
    <n v="1"/>
  </r>
  <r>
    <n v="5"/>
    <n v="2"/>
    <n v="10"/>
    <n v="2"/>
    <n v="7"/>
  </r>
  <r>
    <n v="3"/>
    <n v="6"/>
    <n v="5"/>
    <n v="5"/>
    <n v="5"/>
  </r>
  <r>
    <n v="2"/>
    <n v="1"/>
    <n v="7"/>
    <n v="2"/>
    <n v="7"/>
  </r>
  <r>
    <n v="5"/>
    <n v="2"/>
    <n v="3"/>
    <n v="2"/>
    <n v="7"/>
  </r>
  <r>
    <n v="4"/>
    <n v="6"/>
    <n v="5"/>
    <n v="6"/>
    <n v="6"/>
  </r>
  <r>
    <n v="10"/>
    <n v="7"/>
    <n v="8"/>
    <n v="2"/>
    <n v="7"/>
  </r>
  <r>
    <n v="5"/>
    <n v="2"/>
    <n v="1"/>
    <n v="9"/>
    <n v="1"/>
  </r>
  <r>
    <n v="6"/>
    <n v="9"/>
    <n v="3"/>
    <n v="10"/>
    <n v="4"/>
  </r>
  <r>
    <n v="2"/>
    <n v="2"/>
    <n v="1"/>
    <n v="3"/>
    <n v="8"/>
  </r>
  <r>
    <n v="6"/>
    <n v="5"/>
    <n v="10"/>
    <n v="3"/>
    <n v="3"/>
  </r>
  <r>
    <n v="4"/>
    <n v="3"/>
    <n v="1"/>
    <n v="8"/>
    <n v="7"/>
  </r>
  <r>
    <n v="10"/>
    <n v="10"/>
    <n v="7"/>
    <n v="8"/>
    <n v="10"/>
  </r>
  <r>
    <n v="3"/>
    <n v="6"/>
    <n v="7"/>
    <n v="4"/>
    <n v="1"/>
  </r>
  <r>
    <n v="9"/>
    <n v="6"/>
    <n v="8"/>
    <n v="6"/>
    <n v="10"/>
  </r>
  <r>
    <n v="10"/>
    <n v="4"/>
    <n v="8"/>
    <n v="8"/>
    <n v="3"/>
  </r>
  <r>
    <n v="6"/>
    <n v="10"/>
    <n v="7"/>
    <n v="7"/>
    <n v="1"/>
  </r>
  <r>
    <n v="7"/>
    <n v="5"/>
    <n v="3"/>
    <n v="6"/>
    <n v="4"/>
  </r>
  <r>
    <n v="1"/>
    <n v="10"/>
    <n v="7"/>
    <n v="2"/>
    <n v="4"/>
  </r>
  <r>
    <n v="6"/>
    <n v="3"/>
    <n v="9"/>
    <n v="10"/>
    <n v="3"/>
  </r>
  <r>
    <n v="10"/>
    <n v="10"/>
    <n v="4"/>
    <n v="10"/>
    <n v="5"/>
  </r>
  <r>
    <n v="8"/>
    <n v="7"/>
    <n v="10"/>
    <n v="9"/>
    <n v="4"/>
  </r>
  <r>
    <n v="4"/>
    <n v="4"/>
    <n v="6"/>
    <n v="1"/>
    <n v="2"/>
  </r>
  <r>
    <n v="10"/>
    <n v="10"/>
    <n v="10"/>
    <n v="10"/>
    <n v="10"/>
  </r>
  <r>
    <n v="7"/>
    <n v="6"/>
    <n v="7"/>
    <n v="6"/>
    <n v="1"/>
  </r>
  <r>
    <n v="4"/>
    <n v="2"/>
    <n v="10"/>
    <n v="10"/>
    <n v="10"/>
  </r>
  <r>
    <n v="3"/>
    <n v="4"/>
    <n v="9"/>
    <n v="4"/>
    <n v="8"/>
  </r>
  <r>
    <n v="9"/>
    <n v="8"/>
    <n v="9"/>
    <n v="5"/>
    <n v="6"/>
  </r>
  <r>
    <n v="3"/>
    <n v="2"/>
    <n v="7"/>
    <n v="4"/>
    <n v="7"/>
  </r>
  <r>
    <n v="7"/>
    <n v="8"/>
    <n v="8"/>
    <n v="3"/>
    <n v="3"/>
  </r>
  <r>
    <n v="3"/>
    <n v="8"/>
    <n v="8"/>
    <n v="1"/>
    <n v="1"/>
  </r>
  <r>
    <n v="4"/>
    <n v="9"/>
    <n v="1"/>
    <n v="1"/>
    <n v="5"/>
  </r>
  <r>
    <n v="4"/>
    <n v="10"/>
    <n v="7"/>
    <n v="1"/>
    <n v="5"/>
  </r>
  <r>
    <n v="9"/>
    <n v="6"/>
    <n v="5"/>
    <n v="3"/>
    <n v="5"/>
  </r>
  <r>
    <n v="3"/>
    <n v="3"/>
    <n v="6"/>
    <n v="6"/>
    <n v="6"/>
  </r>
  <r>
    <n v="10"/>
    <n v="8"/>
    <n v="2"/>
    <n v="1"/>
    <n v="7"/>
  </r>
  <r>
    <n v="4"/>
    <n v="2"/>
    <n v="10"/>
    <n v="8"/>
    <n v="3"/>
  </r>
  <r>
    <n v="5"/>
    <n v="7"/>
    <n v="2"/>
    <n v="6"/>
    <n v="1"/>
  </r>
  <r>
    <n v="10"/>
    <n v="4"/>
    <n v="5"/>
    <n v="3"/>
    <n v="3"/>
  </r>
  <r>
    <n v="6"/>
    <n v="10"/>
    <n v="1"/>
    <n v="9"/>
    <n v="4"/>
  </r>
  <r>
    <n v="3"/>
    <n v="10"/>
    <n v="10"/>
    <n v="8"/>
    <n v="6"/>
  </r>
  <r>
    <n v="8"/>
    <n v="4"/>
    <n v="9"/>
    <n v="5"/>
    <n v="9"/>
  </r>
  <r>
    <n v="1"/>
    <n v="6"/>
    <n v="8"/>
    <n v="10"/>
    <n v="7"/>
  </r>
  <r>
    <n v="4"/>
    <n v="1"/>
    <n v="6"/>
    <n v="6"/>
    <n v="10"/>
  </r>
  <r>
    <n v="2"/>
    <n v="9"/>
    <n v="2"/>
    <n v="3"/>
    <n v="1"/>
  </r>
  <r>
    <n v="9"/>
    <n v="2"/>
    <n v="9"/>
    <n v="10"/>
    <n v="8"/>
  </r>
  <r>
    <n v="9"/>
    <n v="6"/>
    <n v="7"/>
    <n v="10"/>
    <n v="9"/>
  </r>
  <r>
    <n v="10"/>
    <n v="1"/>
    <n v="2"/>
    <n v="6"/>
    <n v="10"/>
  </r>
  <r>
    <n v="5"/>
    <n v="7"/>
    <n v="4"/>
    <n v="4"/>
    <n v="9"/>
  </r>
  <r>
    <n v="4"/>
    <n v="1"/>
    <n v="5"/>
    <n v="7"/>
    <n v="3"/>
  </r>
  <r>
    <n v="5"/>
    <n v="2"/>
    <n v="2"/>
    <n v="5"/>
    <n v="5"/>
  </r>
  <r>
    <n v="2"/>
    <n v="10"/>
    <n v="2"/>
    <n v="6"/>
    <n v="8"/>
  </r>
  <r>
    <n v="7"/>
    <n v="7"/>
    <n v="3"/>
    <n v="3"/>
    <n v="1"/>
  </r>
  <r>
    <n v="5"/>
    <n v="3"/>
    <n v="5"/>
    <n v="3"/>
    <n v="6"/>
  </r>
  <r>
    <n v="3"/>
    <n v="4"/>
    <n v="7"/>
    <n v="7"/>
    <n v="5"/>
  </r>
  <r>
    <n v="4"/>
    <n v="2"/>
    <n v="6"/>
    <n v="9"/>
    <n v="10"/>
  </r>
  <r>
    <n v="2"/>
    <n v="5"/>
    <n v="3"/>
    <n v="6"/>
    <n v="1"/>
  </r>
  <r>
    <n v="7"/>
    <n v="5"/>
    <n v="4"/>
    <n v="10"/>
    <n v="1"/>
  </r>
  <r>
    <n v="3"/>
    <n v="10"/>
    <n v="8"/>
    <n v="6"/>
    <n v="10"/>
  </r>
  <r>
    <n v="10"/>
    <n v="5"/>
    <n v="5"/>
    <n v="1"/>
    <n v="5"/>
  </r>
  <r>
    <n v="5"/>
    <n v="1"/>
    <n v="3"/>
    <n v="5"/>
    <n v="10"/>
  </r>
  <r>
    <n v="4"/>
    <n v="8"/>
    <n v="2"/>
    <n v="7"/>
    <n v="8"/>
  </r>
  <r>
    <n v="5"/>
    <n v="5"/>
    <n v="1"/>
    <n v="10"/>
    <n v="7"/>
  </r>
  <r>
    <n v="9"/>
    <n v="8"/>
    <n v="3"/>
    <n v="9"/>
    <n v="5"/>
  </r>
  <r>
    <n v="3"/>
    <n v="6"/>
    <n v="6"/>
    <n v="8"/>
    <n v="8"/>
  </r>
  <r>
    <n v="1"/>
    <n v="2"/>
    <n v="10"/>
    <n v="3"/>
    <n v="2"/>
  </r>
  <r>
    <n v="3"/>
    <n v="7"/>
    <n v="2"/>
    <n v="2"/>
    <n v="3"/>
  </r>
  <r>
    <n v="4"/>
    <n v="8"/>
    <n v="3"/>
    <n v="2"/>
    <n v="4"/>
  </r>
  <r>
    <n v="6"/>
    <n v="10"/>
    <n v="9"/>
    <n v="3"/>
    <n v="10"/>
  </r>
  <r>
    <n v="6"/>
    <n v="9"/>
    <n v="3"/>
    <n v="6"/>
    <n v="1"/>
  </r>
  <r>
    <n v="2"/>
    <n v="2"/>
    <n v="6"/>
    <n v="3"/>
    <n v="1"/>
  </r>
  <r>
    <n v="1"/>
    <n v="10"/>
    <n v="6"/>
    <n v="2"/>
    <n v="1"/>
  </r>
  <r>
    <n v="6"/>
    <n v="4"/>
    <n v="7"/>
    <n v="7"/>
    <n v="10"/>
  </r>
  <r>
    <n v="9"/>
    <n v="5"/>
    <n v="8"/>
    <n v="4"/>
    <n v="6"/>
  </r>
  <r>
    <n v="10"/>
    <n v="5"/>
    <n v="5"/>
    <n v="10"/>
    <n v="1"/>
  </r>
  <r>
    <n v="9"/>
    <n v="5"/>
    <n v="7"/>
    <n v="9"/>
    <n v="10"/>
  </r>
  <r>
    <n v="7"/>
    <n v="1"/>
    <n v="8"/>
    <n v="6"/>
    <n v="6"/>
  </r>
  <r>
    <n v="8"/>
    <n v="10"/>
    <n v="2"/>
    <n v="2"/>
    <n v="7"/>
  </r>
  <r>
    <n v="1"/>
    <n v="3"/>
    <n v="2"/>
    <n v="2"/>
    <n v="9"/>
  </r>
  <r>
    <n v="1"/>
    <n v="6"/>
    <n v="8"/>
    <n v="2"/>
    <n v="3"/>
  </r>
  <r>
    <n v="5"/>
    <n v="8"/>
    <n v="5"/>
    <n v="7"/>
    <n v="2"/>
  </r>
  <r>
    <n v="4"/>
    <n v="2"/>
    <n v="4"/>
    <n v="8"/>
    <n v="6"/>
  </r>
  <r>
    <n v="3"/>
    <n v="3"/>
    <n v="8"/>
    <n v="3"/>
    <n v="8"/>
  </r>
  <r>
    <n v="5"/>
    <n v="5"/>
    <n v="3"/>
    <n v="5"/>
    <n v="2"/>
  </r>
  <r>
    <n v="4"/>
    <n v="7"/>
    <n v="3"/>
    <n v="9"/>
    <n v="9"/>
  </r>
  <r>
    <n v="7"/>
    <n v="9"/>
    <n v="6"/>
    <n v="4"/>
    <n v="10"/>
  </r>
  <r>
    <n v="9"/>
    <n v="2"/>
    <n v="1"/>
    <n v="5"/>
    <n v="2"/>
  </r>
  <r>
    <n v="3"/>
    <n v="2"/>
    <n v="5"/>
    <n v="2"/>
    <n v="2"/>
  </r>
  <r>
    <n v="5"/>
    <n v="4"/>
    <n v="8"/>
    <n v="4"/>
    <n v="10"/>
  </r>
  <r>
    <n v="1"/>
    <n v="7"/>
    <n v="1"/>
    <n v="4"/>
    <n v="7"/>
  </r>
  <r>
    <n v="2"/>
    <n v="3"/>
    <n v="9"/>
    <n v="10"/>
    <n v="7"/>
  </r>
  <r>
    <n v="9"/>
    <n v="4"/>
    <n v="1"/>
    <n v="6"/>
    <n v="3"/>
  </r>
  <r>
    <n v="4"/>
    <n v="8"/>
    <n v="3"/>
    <n v="7"/>
    <n v="4"/>
  </r>
  <r>
    <n v="5"/>
    <n v="2"/>
    <n v="2"/>
    <n v="6"/>
    <n v="2"/>
  </r>
  <r>
    <n v="9"/>
    <n v="2"/>
    <n v="10"/>
    <n v="3"/>
    <n v="1"/>
  </r>
  <r>
    <n v="9"/>
    <n v="4"/>
    <n v="3"/>
    <n v="10"/>
    <n v="5"/>
  </r>
  <r>
    <n v="5"/>
    <n v="2"/>
    <n v="4"/>
    <n v="5"/>
    <n v="1"/>
  </r>
  <r>
    <n v="10"/>
    <n v="7"/>
    <n v="6"/>
    <n v="3"/>
    <n v="3"/>
  </r>
  <r>
    <n v="4"/>
    <n v="3"/>
    <n v="8"/>
    <n v="5"/>
    <n v="3"/>
  </r>
  <r>
    <n v="10"/>
    <n v="3"/>
    <n v="4"/>
    <n v="4"/>
    <n v="1"/>
  </r>
  <r>
    <n v="9"/>
    <n v="9"/>
    <n v="4"/>
    <n v="2"/>
    <n v="7"/>
  </r>
  <r>
    <n v="9"/>
    <n v="3"/>
    <n v="10"/>
    <n v="6"/>
    <n v="2"/>
  </r>
  <r>
    <n v="10"/>
    <n v="6"/>
    <n v="6"/>
    <n v="9"/>
    <n v="8"/>
  </r>
  <r>
    <n v="5"/>
    <n v="5"/>
    <n v="5"/>
    <n v="7"/>
    <n v="9"/>
  </r>
  <r>
    <n v="3"/>
    <n v="9"/>
    <n v="3"/>
    <n v="8"/>
    <n v="8"/>
  </r>
  <r>
    <n v="1"/>
    <n v="6"/>
    <n v="9"/>
    <n v="1"/>
    <n v="1"/>
  </r>
  <r>
    <n v="1"/>
    <n v="4"/>
    <n v="4"/>
    <n v="5"/>
    <n v="2"/>
  </r>
  <r>
    <n v="3"/>
    <n v="9"/>
    <n v="5"/>
    <n v="2"/>
    <n v="3"/>
  </r>
  <r>
    <n v="1"/>
    <n v="9"/>
    <n v="1"/>
    <n v="7"/>
    <n v="1"/>
  </r>
  <r>
    <n v="3"/>
    <n v="1"/>
    <n v="3"/>
    <n v="10"/>
    <n v="6"/>
  </r>
  <r>
    <n v="5"/>
    <n v="6"/>
    <n v="9"/>
    <n v="1"/>
    <n v="1"/>
  </r>
  <r>
    <n v="1"/>
    <n v="5"/>
    <n v="10"/>
    <n v="6"/>
    <n v="2"/>
  </r>
  <r>
    <n v="10"/>
    <n v="6"/>
    <n v="8"/>
    <n v="6"/>
    <n v="6"/>
  </r>
  <r>
    <n v="8"/>
    <n v="3"/>
    <n v="2"/>
    <n v="4"/>
    <n v="3"/>
  </r>
  <r>
    <n v="2"/>
    <n v="3"/>
    <n v="5"/>
    <n v="2"/>
    <n v="6"/>
  </r>
  <r>
    <n v="7"/>
    <n v="7"/>
    <n v="9"/>
    <n v="7"/>
    <n v="7"/>
  </r>
  <r>
    <n v="10"/>
    <n v="9"/>
    <n v="10"/>
    <n v="4"/>
    <n v="3"/>
  </r>
  <r>
    <n v="9"/>
    <n v="7"/>
    <n v="8"/>
    <n v="4"/>
    <n v="10"/>
  </r>
  <r>
    <n v="10"/>
    <n v="4"/>
    <n v="6"/>
    <n v="1"/>
    <n v="4"/>
  </r>
  <r>
    <n v="7"/>
    <n v="1"/>
    <n v="10"/>
    <n v="9"/>
    <n v="2"/>
  </r>
  <r>
    <n v="4"/>
    <n v="10"/>
    <n v="8"/>
    <n v="10"/>
    <n v="7"/>
  </r>
  <r>
    <n v="2"/>
    <n v="7"/>
    <n v="9"/>
    <n v="2"/>
    <n v="8"/>
  </r>
  <r>
    <n v="1"/>
    <n v="10"/>
    <n v="9"/>
    <n v="5"/>
    <n v="10"/>
  </r>
  <r>
    <n v="3"/>
    <n v="7"/>
    <n v="7"/>
    <n v="10"/>
    <n v="6"/>
  </r>
  <r>
    <n v="1"/>
    <n v="3"/>
    <n v="3"/>
    <n v="5"/>
    <n v="10"/>
  </r>
  <r>
    <n v="4"/>
    <n v="6"/>
    <n v="9"/>
    <n v="8"/>
    <n v="5"/>
  </r>
  <r>
    <n v="10"/>
    <n v="7"/>
    <n v="7"/>
    <n v="3"/>
    <n v="8"/>
  </r>
  <r>
    <n v="1"/>
    <n v="10"/>
    <n v="2"/>
    <n v="7"/>
    <n v="8"/>
  </r>
  <r>
    <n v="4"/>
    <n v="10"/>
    <n v="10"/>
    <n v="8"/>
    <n v="5"/>
  </r>
  <r>
    <n v="5"/>
    <n v="5"/>
    <n v="9"/>
    <n v="8"/>
    <n v="3"/>
  </r>
  <r>
    <n v="1"/>
    <n v="9"/>
    <n v="9"/>
    <n v="5"/>
    <n v="3"/>
  </r>
  <r>
    <n v="8"/>
    <n v="10"/>
    <n v="5"/>
    <n v="10"/>
    <n v="8"/>
  </r>
  <r>
    <n v="7"/>
    <n v="4"/>
    <n v="5"/>
    <n v="10"/>
    <n v="6"/>
  </r>
  <r>
    <n v="3"/>
    <n v="2"/>
    <n v="9"/>
    <n v="5"/>
    <n v="4"/>
  </r>
  <r>
    <n v="5"/>
    <n v="7"/>
    <n v="10"/>
    <n v="3"/>
    <n v="9"/>
  </r>
  <r>
    <n v="6"/>
    <n v="10"/>
    <n v="1"/>
    <n v="6"/>
    <n v="6"/>
  </r>
  <r>
    <n v="8"/>
    <n v="10"/>
    <n v="2"/>
    <n v="4"/>
    <n v="6"/>
  </r>
  <r>
    <n v="6"/>
    <n v="7"/>
    <n v="7"/>
    <n v="5"/>
    <n v="2"/>
  </r>
  <r>
    <n v="1"/>
    <n v="2"/>
    <n v="3"/>
    <n v="1"/>
    <n v="5"/>
  </r>
  <r>
    <n v="7"/>
    <n v="8"/>
    <n v="2"/>
    <n v="2"/>
    <n v="3"/>
  </r>
  <r>
    <n v="10"/>
    <n v="5"/>
    <n v="3"/>
    <n v="6"/>
    <n v="1"/>
  </r>
  <r>
    <n v="4"/>
    <n v="5"/>
    <n v="3"/>
    <n v="8"/>
    <n v="10"/>
  </r>
  <r>
    <n v="4"/>
    <n v="5"/>
    <n v="7"/>
    <n v="1"/>
    <n v="3"/>
  </r>
  <r>
    <n v="6"/>
    <n v="9"/>
    <n v="3"/>
    <n v="10"/>
    <n v="9"/>
  </r>
  <r>
    <n v="6"/>
    <n v="5"/>
    <n v="3"/>
    <n v="5"/>
    <n v="2"/>
  </r>
  <r>
    <n v="4"/>
    <n v="8"/>
    <n v="8"/>
    <n v="7"/>
    <n v="9"/>
  </r>
  <r>
    <n v="4"/>
    <n v="8"/>
    <n v="3"/>
    <n v="7"/>
    <n v="2"/>
  </r>
  <r>
    <n v="9"/>
    <n v="10"/>
    <n v="8"/>
    <n v="5"/>
    <n v="7"/>
  </r>
  <r>
    <n v="5"/>
    <n v="7"/>
    <n v="3"/>
    <n v="6"/>
    <n v="5"/>
  </r>
  <r>
    <n v="8"/>
    <n v="10"/>
    <n v="10"/>
    <n v="5"/>
    <n v="8"/>
  </r>
  <r>
    <n v="5"/>
    <n v="6"/>
    <n v="9"/>
    <n v="4"/>
    <n v="1"/>
  </r>
  <r>
    <n v="8"/>
    <n v="6"/>
    <n v="2"/>
    <n v="6"/>
    <n v="6"/>
  </r>
  <r>
    <n v="2"/>
    <n v="2"/>
    <n v="3"/>
    <n v="2"/>
    <n v="5"/>
  </r>
  <r>
    <n v="2"/>
    <n v="7"/>
    <n v="10"/>
    <n v="7"/>
    <n v="8"/>
  </r>
  <r>
    <n v="8"/>
    <n v="2"/>
    <n v="7"/>
    <n v="3"/>
    <n v="1"/>
  </r>
  <r>
    <n v="3"/>
    <n v="10"/>
    <n v="2"/>
    <n v="3"/>
    <n v="7"/>
  </r>
  <r>
    <n v="2"/>
    <n v="9"/>
    <n v="8"/>
    <n v="4"/>
    <n v="1"/>
  </r>
  <r>
    <n v="1"/>
    <n v="3"/>
    <n v="8"/>
    <n v="2"/>
    <n v="3"/>
  </r>
  <r>
    <n v="4"/>
    <n v="3"/>
    <n v="6"/>
    <n v="6"/>
    <n v="5"/>
  </r>
  <r>
    <n v="3"/>
    <n v="4"/>
    <n v="5"/>
    <n v="2"/>
    <n v="6"/>
  </r>
  <r>
    <n v="6"/>
    <n v="9"/>
    <n v="3"/>
    <n v="1"/>
    <n v="5"/>
  </r>
  <r>
    <n v="5"/>
    <n v="5"/>
    <n v="4"/>
    <n v="9"/>
    <n v="2"/>
  </r>
  <r>
    <n v="9"/>
    <n v="4"/>
    <n v="10"/>
    <n v="9"/>
    <n v="8"/>
  </r>
  <r>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
    <n v="9"/>
    <n v="8"/>
    <n v="8"/>
    <n v="1"/>
    <n v="6"/>
    <n v="205"/>
    <n v="1"/>
    <n v="63"/>
    <n v="5.4"/>
    <n v="54"/>
    <n v="60"/>
    <n v="40"/>
    <n v="52"/>
    <x v="0"/>
    <x v="0"/>
  </r>
  <r>
    <x v="1"/>
    <n v="9"/>
    <n v="8"/>
    <n v="5"/>
    <n v="9"/>
    <n v="5"/>
    <n v="3"/>
    <n v="405"/>
    <n v="5"/>
    <n v="66"/>
    <n v="7.2"/>
    <n v="72"/>
    <n v="100"/>
    <n v="65"/>
    <n v="78"/>
    <x v="0"/>
    <x v="1"/>
  </r>
  <r>
    <x v="2"/>
    <n v="8"/>
    <n v="4"/>
    <n v="6"/>
    <n v="6"/>
    <n v="2"/>
    <n v="4"/>
    <n v="119"/>
    <n v="1"/>
    <n v="42"/>
    <n v="5.2"/>
    <n v="52"/>
    <n v="40"/>
    <n v="30"/>
    <n v="42"/>
    <x v="1"/>
    <x v="0"/>
  </r>
  <r>
    <x v="3"/>
    <n v="2"/>
    <n v="6"/>
    <n v="8"/>
    <n v="4"/>
    <n v="2"/>
    <n v="2"/>
    <n v="56"/>
    <n v="3"/>
    <n v="60"/>
    <n v="4.4000000000000004"/>
    <n v="44"/>
    <n v="40"/>
    <n v="40"/>
    <n v="42"/>
    <x v="0"/>
    <x v="0"/>
  </r>
  <r>
    <x v="4"/>
    <n v="4"/>
    <n v="1"/>
    <n v="8"/>
    <n v="2"/>
    <n v="10"/>
    <n v="2"/>
    <n v="115"/>
    <n v="2"/>
    <n v="92"/>
    <n v="5"/>
    <n v="50"/>
    <n v="40"/>
    <n v="30"/>
    <n v="41"/>
    <x v="2"/>
    <x v="0"/>
  </r>
  <r>
    <x v="5"/>
    <n v="5"/>
    <n v="7"/>
    <n v="5"/>
    <n v="1"/>
    <n v="8"/>
    <n v="1"/>
    <n v="246"/>
    <n v="4"/>
    <n v="59"/>
    <n v="5.2"/>
    <n v="52"/>
    <n v="60"/>
    <n v="45"/>
    <n v="52"/>
    <x v="0"/>
    <x v="0"/>
  </r>
  <r>
    <x v="6"/>
    <n v="7"/>
    <n v="7"/>
    <n v="6"/>
    <n v="8"/>
    <n v="4"/>
    <n v="5"/>
    <n v="224"/>
    <n v="5"/>
    <n v="68"/>
    <n v="6.4"/>
    <n v="64"/>
    <n v="60"/>
    <n v="75"/>
    <n v="66"/>
    <x v="0"/>
    <x v="0"/>
  </r>
  <r>
    <x v="7"/>
    <n v="10"/>
    <n v="6"/>
    <n v="6"/>
    <n v="9"/>
    <n v="2"/>
    <n v="5"/>
    <n v="391"/>
    <n v="5"/>
    <n v="60"/>
    <n v="6.6"/>
    <n v="66"/>
    <n v="80"/>
    <n v="75"/>
    <n v="73"/>
    <x v="0"/>
    <x v="1"/>
  </r>
  <r>
    <x v="8"/>
    <n v="3"/>
    <n v="1"/>
    <n v="8"/>
    <n v="1"/>
    <n v="4"/>
    <n v="1"/>
    <n v="364"/>
    <n v="2"/>
    <n v="67"/>
    <n v="3.4"/>
    <n v="34"/>
    <n v="80"/>
    <n v="25"/>
    <n v="45"/>
    <x v="0"/>
    <x v="0"/>
  </r>
  <r>
    <x v="9"/>
    <n v="8"/>
    <n v="7"/>
    <n v="3"/>
    <n v="8"/>
    <n v="9"/>
    <n v="7"/>
    <n v="198"/>
    <n v="5"/>
    <n v="89"/>
    <n v="7"/>
    <n v="70"/>
    <n v="60"/>
    <n v="85"/>
    <n v="72"/>
    <x v="2"/>
    <x v="1"/>
  </r>
  <r>
    <x v="10"/>
    <n v="4"/>
    <n v="6"/>
    <n v="3"/>
    <n v="10"/>
    <n v="8"/>
    <n v="3"/>
    <n v="418"/>
    <n v="2"/>
    <n v="60"/>
    <n v="6.2"/>
    <n v="62"/>
    <n v="100"/>
    <n v="35"/>
    <n v="65"/>
    <x v="0"/>
    <x v="0"/>
  </r>
  <r>
    <x v="11"/>
    <n v="2"/>
    <n v="9"/>
    <n v="5"/>
    <n v="5"/>
    <n v="8"/>
    <n v="0"/>
    <n v="476"/>
    <n v="3"/>
    <n v="63"/>
    <n v="5.8"/>
    <n v="58"/>
    <n v="100"/>
    <n v="30"/>
    <n v="62"/>
    <x v="0"/>
    <x v="0"/>
  </r>
  <r>
    <x v="12"/>
    <n v="10"/>
    <n v="1"/>
    <n v="6"/>
    <n v="8"/>
    <n v="8"/>
    <n v="6"/>
    <n v="491"/>
    <n v="2"/>
    <n v="51"/>
    <n v="6.6"/>
    <n v="66"/>
    <n v="100"/>
    <n v="50"/>
    <n v="71"/>
    <x v="0"/>
    <x v="1"/>
  </r>
  <r>
    <x v="13"/>
    <n v="3"/>
    <n v="3"/>
    <n v="8"/>
    <n v="5"/>
    <n v="1"/>
    <n v="4"/>
    <n v="387"/>
    <n v="3"/>
    <n v="67"/>
    <n v="4"/>
    <n v="40"/>
    <n v="80"/>
    <n v="50"/>
    <n v="55"/>
    <x v="0"/>
    <x v="0"/>
  </r>
  <r>
    <x v="14"/>
    <n v="6"/>
    <n v="5"/>
    <n v="2"/>
    <n v="4"/>
    <n v="7"/>
    <n v="1"/>
    <n v="182"/>
    <n v="3"/>
    <n v="83"/>
    <n v="4.8"/>
    <n v="48"/>
    <n v="60"/>
    <n v="35"/>
    <n v="48"/>
    <x v="2"/>
    <x v="0"/>
  </r>
  <r>
    <x v="15"/>
    <n v="2"/>
    <n v="5"/>
    <n v="8"/>
    <n v="1"/>
    <n v="7"/>
    <n v="4"/>
    <n v="404"/>
    <n v="3"/>
    <n v="49"/>
    <n v="4.5999999999999996"/>
    <n v="46"/>
    <n v="100"/>
    <n v="50"/>
    <n v="63"/>
    <x v="1"/>
    <x v="0"/>
  </r>
  <r>
    <x v="16"/>
    <n v="6"/>
    <n v="10"/>
    <n v="2"/>
    <n v="7"/>
    <n v="3"/>
    <n v="5"/>
    <n v="235"/>
    <n v="0"/>
    <n v="52"/>
    <n v="5.6"/>
    <n v="56"/>
    <n v="60"/>
    <n v="25"/>
    <n v="48"/>
    <x v="0"/>
    <x v="0"/>
  </r>
  <r>
    <x v="17"/>
    <n v="7"/>
    <n v="9"/>
    <n v="4"/>
    <n v="7"/>
    <n v="1"/>
    <n v="3"/>
    <n v="410"/>
    <n v="2"/>
    <n v="63"/>
    <n v="5.6"/>
    <n v="56"/>
    <n v="100"/>
    <n v="35"/>
    <n v="63"/>
    <x v="0"/>
    <x v="0"/>
  </r>
  <r>
    <x v="18"/>
    <n v="5"/>
    <n v="6"/>
    <n v="4"/>
    <n v="5"/>
    <n v="4"/>
    <n v="8"/>
    <n v="317"/>
    <n v="5"/>
    <n v="58"/>
    <n v="4.8"/>
    <n v="48"/>
    <n v="80"/>
    <n v="90"/>
    <n v="70"/>
    <x v="0"/>
    <x v="0"/>
  </r>
  <r>
    <x v="19"/>
    <n v="1"/>
    <n v="3"/>
    <n v="6"/>
    <n v="8"/>
    <n v="3"/>
    <n v="6"/>
    <n v="389"/>
    <n v="2"/>
    <n v="90"/>
    <n v="4.2"/>
    <n v="42"/>
    <n v="80"/>
    <n v="50"/>
    <n v="56"/>
    <x v="2"/>
    <x v="0"/>
  </r>
  <r>
    <x v="20"/>
    <n v="1"/>
    <n v="1"/>
    <n v="7"/>
    <n v="3"/>
    <n v="8"/>
    <n v="0"/>
    <n v="426"/>
    <n v="3"/>
    <n v="71"/>
    <n v="4"/>
    <n v="40"/>
    <n v="100"/>
    <n v="30"/>
    <n v="55"/>
    <x v="0"/>
    <x v="0"/>
  </r>
  <r>
    <x v="21"/>
    <n v="4"/>
    <n v="5"/>
    <n v="1"/>
    <n v="5"/>
    <n v="10"/>
    <n v="1"/>
    <n v="349"/>
    <n v="1"/>
    <n v="46"/>
    <n v="5"/>
    <n v="50"/>
    <n v="80"/>
    <n v="15"/>
    <n v="49"/>
    <x v="1"/>
    <x v="0"/>
  </r>
  <r>
    <x v="22"/>
    <n v="8"/>
    <n v="9"/>
    <n v="10"/>
    <n v="1"/>
    <n v="9"/>
    <n v="8"/>
    <n v="293"/>
    <n v="3"/>
    <n v="84"/>
    <n v="7.4"/>
    <n v="74"/>
    <n v="80"/>
    <n v="70"/>
    <n v="75"/>
    <x v="2"/>
    <x v="1"/>
  </r>
  <r>
    <x v="23"/>
    <n v="9"/>
    <n v="8"/>
    <n v="4"/>
    <n v="3"/>
    <n v="9"/>
    <n v="3"/>
    <n v="159"/>
    <n v="2"/>
    <n v="84"/>
    <n v="6.6"/>
    <n v="66"/>
    <n v="60"/>
    <n v="35"/>
    <n v="55"/>
    <x v="2"/>
    <x v="0"/>
  </r>
  <r>
    <x v="24"/>
    <n v="3"/>
    <n v="5"/>
    <n v="7"/>
    <n v="6"/>
    <n v="10"/>
    <n v="2"/>
    <n v="443"/>
    <n v="1"/>
    <n v="85"/>
    <n v="6.2"/>
    <n v="62"/>
    <n v="100"/>
    <n v="20"/>
    <n v="61"/>
    <x v="2"/>
    <x v="0"/>
  </r>
  <r>
    <x v="25"/>
    <n v="1"/>
    <n v="10"/>
    <n v="1"/>
    <n v="8"/>
    <n v="5"/>
    <n v="4"/>
    <n v="339"/>
    <n v="4"/>
    <n v="63"/>
    <n v="5"/>
    <n v="50"/>
    <n v="80"/>
    <n v="60"/>
    <n v="62"/>
    <x v="0"/>
    <x v="0"/>
  </r>
  <r>
    <x v="26"/>
    <n v="8"/>
    <n v="4"/>
    <n v="4"/>
    <n v="5"/>
    <n v="5"/>
    <n v="2"/>
    <n v="412"/>
    <n v="1"/>
    <n v="77"/>
    <n v="5.2"/>
    <n v="52"/>
    <n v="100"/>
    <n v="20"/>
    <n v="57"/>
    <x v="2"/>
    <x v="0"/>
  </r>
  <r>
    <x v="27"/>
    <n v="10"/>
    <n v="9"/>
    <n v="1"/>
    <n v="1"/>
    <n v="6"/>
    <n v="8"/>
    <n v="329"/>
    <n v="3"/>
    <n v="63"/>
    <n v="5.4"/>
    <n v="54"/>
    <n v="80"/>
    <n v="70"/>
    <n v="67"/>
    <x v="0"/>
    <x v="0"/>
  </r>
  <r>
    <x v="28"/>
    <n v="10"/>
    <n v="4"/>
    <n v="10"/>
    <n v="1"/>
    <n v="1"/>
    <n v="8"/>
    <n v="334"/>
    <n v="4"/>
    <n v="94"/>
    <n v="5.2"/>
    <n v="52"/>
    <n v="80"/>
    <n v="80"/>
    <n v="69"/>
    <x v="2"/>
    <x v="0"/>
  </r>
  <r>
    <x v="29"/>
    <n v="4"/>
    <n v="7"/>
    <n v="7"/>
    <n v="6"/>
    <n v="9"/>
    <n v="3"/>
    <n v="356"/>
    <n v="2"/>
    <n v="44"/>
    <n v="6.6"/>
    <n v="66"/>
    <n v="80"/>
    <n v="35"/>
    <n v="61"/>
    <x v="1"/>
    <x v="0"/>
  </r>
  <r>
    <x v="30"/>
    <n v="7"/>
    <n v="3"/>
    <n v="10"/>
    <n v="8"/>
    <n v="9"/>
    <n v="6"/>
    <n v="51"/>
    <n v="5"/>
    <n v="51"/>
    <n v="7.4"/>
    <n v="74"/>
    <n v="40"/>
    <n v="80"/>
    <n v="66"/>
    <x v="0"/>
    <x v="0"/>
  </r>
  <r>
    <x v="31"/>
    <n v="10"/>
    <n v="7"/>
    <n v="4"/>
    <n v="6"/>
    <n v="3"/>
    <n v="2"/>
    <n v="403"/>
    <n v="1"/>
    <n v="79"/>
    <n v="6"/>
    <n v="60"/>
    <n v="100"/>
    <n v="20"/>
    <n v="60"/>
    <x v="2"/>
    <x v="0"/>
  </r>
  <r>
    <x v="32"/>
    <n v="10"/>
    <n v="5"/>
    <n v="4"/>
    <n v="9"/>
    <n v="9"/>
    <n v="0"/>
    <n v="114"/>
    <n v="1"/>
    <n v="47"/>
    <n v="7.4"/>
    <n v="74"/>
    <n v="40"/>
    <n v="10"/>
    <n v="45"/>
    <x v="1"/>
    <x v="0"/>
  </r>
  <r>
    <x v="33"/>
    <n v="9"/>
    <n v="7"/>
    <n v="3"/>
    <n v="7"/>
    <n v="5"/>
    <n v="5"/>
    <n v="71"/>
    <n v="4"/>
    <n v="41"/>
    <n v="6.2"/>
    <n v="62"/>
    <n v="40"/>
    <n v="65"/>
    <n v="56"/>
    <x v="1"/>
    <x v="0"/>
  </r>
  <r>
    <x v="34"/>
    <n v="4"/>
    <n v="1"/>
    <n v="4"/>
    <n v="1"/>
    <n v="2"/>
    <n v="0"/>
    <n v="150"/>
    <n v="0"/>
    <n v="84"/>
    <n v="2.4"/>
    <n v="24"/>
    <n v="60"/>
    <n v="0"/>
    <n v="28"/>
    <x v="2"/>
    <x v="2"/>
  </r>
  <r>
    <x v="35"/>
    <n v="2"/>
    <n v="6"/>
    <n v="6"/>
    <n v="3"/>
    <n v="7"/>
    <n v="4"/>
    <n v="486"/>
    <n v="0"/>
    <n v="86"/>
    <n v="4.8"/>
    <n v="48"/>
    <n v="100"/>
    <n v="20"/>
    <n v="55"/>
    <x v="2"/>
    <x v="0"/>
  </r>
  <r>
    <x v="36"/>
    <n v="3"/>
    <n v="1"/>
    <n v="8"/>
    <n v="2"/>
    <n v="10"/>
    <n v="5"/>
    <n v="341"/>
    <n v="1"/>
    <n v="41"/>
    <n v="4.8"/>
    <n v="48"/>
    <n v="80"/>
    <n v="35"/>
    <n v="54"/>
    <x v="1"/>
    <x v="0"/>
  </r>
  <r>
    <x v="37"/>
    <n v="5"/>
    <n v="2"/>
    <n v="8"/>
    <n v="10"/>
    <n v="9"/>
    <n v="6"/>
    <n v="305"/>
    <n v="0"/>
    <n v="57"/>
    <n v="6.8"/>
    <n v="68"/>
    <n v="80"/>
    <n v="30"/>
    <n v="60"/>
    <x v="0"/>
    <x v="0"/>
  </r>
  <r>
    <x v="38"/>
    <n v="3"/>
    <n v="1"/>
    <n v="2"/>
    <n v="3"/>
    <n v="6"/>
    <n v="1"/>
    <n v="491"/>
    <n v="5"/>
    <n v="62"/>
    <n v="3"/>
    <n v="30"/>
    <n v="100"/>
    <n v="55"/>
    <n v="59"/>
    <x v="0"/>
    <x v="0"/>
  </r>
  <r>
    <x v="39"/>
    <n v="5"/>
    <n v="6"/>
    <n v="2"/>
    <n v="8"/>
    <n v="1"/>
    <n v="7"/>
    <n v="395"/>
    <n v="2"/>
    <n v="85"/>
    <n v="4.4000000000000004"/>
    <n v="44"/>
    <n v="80"/>
    <n v="55"/>
    <n v="58"/>
    <x v="2"/>
    <x v="0"/>
  </r>
  <r>
    <x v="40"/>
    <n v="8"/>
    <n v="5"/>
    <n v="5"/>
    <n v="9"/>
    <n v="7"/>
    <n v="5"/>
    <n v="62"/>
    <n v="3"/>
    <n v="43"/>
    <n v="6.8"/>
    <n v="68"/>
    <n v="40"/>
    <n v="55"/>
    <n v="56"/>
    <x v="1"/>
    <x v="0"/>
  </r>
  <r>
    <x v="41"/>
    <n v="3"/>
    <n v="4"/>
    <n v="8"/>
    <n v="4"/>
    <n v="5"/>
    <n v="3"/>
    <n v="125"/>
    <n v="5"/>
    <n v="59"/>
    <n v="4.8"/>
    <n v="48"/>
    <n v="40"/>
    <n v="65"/>
    <n v="51"/>
    <x v="0"/>
    <x v="0"/>
  </r>
  <r>
    <x v="42"/>
    <n v="6"/>
    <n v="2"/>
    <n v="1"/>
    <n v="8"/>
    <n v="4"/>
    <n v="3"/>
    <n v="57"/>
    <n v="3"/>
    <n v="85"/>
    <n v="4.2"/>
    <n v="42"/>
    <n v="40"/>
    <n v="45"/>
    <n v="42"/>
    <x v="2"/>
    <x v="0"/>
  </r>
  <r>
    <x v="43"/>
    <n v="3"/>
    <n v="10"/>
    <n v="6"/>
    <n v="6"/>
    <n v="9"/>
    <n v="5"/>
    <n v="458"/>
    <n v="1"/>
    <n v="74"/>
    <n v="6.8"/>
    <n v="68"/>
    <n v="100"/>
    <n v="35"/>
    <n v="68"/>
    <x v="0"/>
    <x v="0"/>
  </r>
  <r>
    <x v="44"/>
    <n v="4"/>
    <n v="7"/>
    <n v="10"/>
    <n v="10"/>
    <n v="7"/>
    <n v="1"/>
    <n v="90"/>
    <n v="0"/>
    <n v="46"/>
    <n v="7.6"/>
    <n v="76"/>
    <n v="40"/>
    <n v="5"/>
    <n v="44"/>
    <x v="1"/>
    <x v="0"/>
  </r>
  <r>
    <x v="45"/>
    <n v="8"/>
    <n v="5"/>
    <n v="5"/>
    <n v="10"/>
    <n v="2"/>
    <n v="4"/>
    <n v="446"/>
    <n v="1"/>
    <n v="86"/>
    <n v="6"/>
    <n v="60"/>
    <n v="100"/>
    <n v="30"/>
    <n v="63"/>
    <x v="2"/>
    <x v="0"/>
  </r>
  <r>
    <x v="46"/>
    <n v="9"/>
    <n v="10"/>
    <n v="4"/>
    <n v="6"/>
    <n v="8"/>
    <n v="7"/>
    <n v="368"/>
    <n v="4"/>
    <n v="50"/>
    <n v="7.4"/>
    <n v="74"/>
    <n v="80"/>
    <n v="75"/>
    <n v="76"/>
    <x v="0"/>
    <x v="1"/>
  </r>
  <r>
    <x v="47"/>
    <n v="1"/>
    <n v="7"/>
    <n v="5"/>
    <n v="7"/>
    <n v="2"/>
    <n v="8"/>
    <n v="240"/>
    <n v="4"/>
    <n v="70"/>
    <n v="4.4000000000000004"/>
    <n v="44"/>
    <n v="60"/>
    <n v="80"/>
    <n v="60"/>
    <x v="0"/>
    <x v="0"/>
  </r>
  <r>
    <x v="48"/>
    <n v="3"/>
    <n v="3"/>
    <n v="3"/>
    <n v="2"/>
    <n v="9"/>
    <n v="1"/>
    <n v="118"/>
    <n v="2"/>
    <n v="48"/>
    <n v="4"/>
    <n v="40"/>
    <n v="40"/>
    <n v="25"/>
    <n v="36"/>
    <x v="1"/>
    <x v="2"/>
  </r>
  <r>
    <x v="49"/>
    <n v="9"/>
    <n v="9"/>
    <n v="1"/>
    <n v="4"/>
    <n v="8"/>
    <n v="5"/>
    <n v="227"/>
    <n v="0"/>
    <n v="41"/>
    <n v="6.2"/>
    <n v="62"/>
    <n v="60"/>
    <n v="25"/>
    <n v="50"/>
    <x v="1"/>
    <x v="0"/>
  </r>
  <r>
    <x v="50"/>
    <n v="8"/>
    <n v="7"/>
    <n v="5"/>
    <n v="2"/>
    <n v="4"/>
    <n v="8"/>
    <n v="152"/>
    <n v="0"/>
    <n v="49"/>
    <n v="5.2"/>
    <n v="52"/>
    <n v="60"/>
    <n v="40"/>
    <n v="51"/>
    <x v="1"/>
    <x v="0"/>
  </r>
  <r>
    <x v="51"/>
    <n v="8"/>
    <n v="5"/>
    <n v="9"/>
    <n v="7"/>
    <n v="4"/>
    <n v="3"/>
    <n v="283"/>
    <n v="0"/>
    <n v="91"/>
    <n v="6.6"/>
    <n v="66"/>
    <n v="80"/>
    <n v="15"/>
    <n v="55"/>
    <x v="2"/>
    <x v="0"/>
  </r>
  <r>
    <x v="52"/>
    <n v="4"/>
    <n v="4"/>
    <n v="5"/>
    <n v="8"/>
    <n v="2"/>
    <n v="5"/>
    <n v="80"/>
    <n v="4"/>
    <n v="62"/>
    <n v="4.5999999999999996"/>
    <n v="46"/>
    <n v="40"/>
    <n v="65"/>
    <n v="50"/>
    <x v="0"/>
    <x v="0"/>
  </r>
  <r>
    <x v="53"/>
    <n v="7"/>
    <n v="7"/>
    <n v="5"/>
    <n v="3"/>
    <n v="1"/>
    <n v="0"/>
    <n v="497"/>
    <n v="5"/>
    <n v="66"/>
    <n v="4.5999999999999996"/>
    <n v="46"/>
    <n v="100"/>
    <n v="50"/>
    <n v="63"/>
    <x v="0"/>
    <x v="0"/>
  </r>
  <r>
    <x v="54"/>
    <n v="6"/>
    <n v="2"/>
    <n v="4"/>
    <n v="8"/>
    <n v="9"/>
    <n v="8"/>
    <n v="82"/>
    <n v="2"/>
    <n v="68"/>
    <n v="5.8"/>
    <n v="58"/>
    <n v="40"/>
    <n v="60"/>
    <n v="53"/>
    <x v="0"/>
    <x v="0"/>
  </r>
  <r>
    <x v="55"/>
    <n v="7"/>
    <n v="3"/>
    <n v="10"/>
    <n v="7"/>
    <n v="2"/>
    <n v="1"/>
    <n v="120"/>
    <n v="2"/>
    <n v="61"/>
    <n v="5.8"/>
    <n v="58"/>
    <n v="40"/>
    <n v="25"/>
    <n v="43"/>
    <x v="0"/>
    <x v="0"/>
  </r>
  <r>
    <x v="56"/>
    <n v="6"/>
    <n v="4"/>
    <n v="5"/>
    <n v="1"/>
    <n v="5"/>
    <n v="4"/>
    <n v="164"/>
    <n v="5"/>
    <n v="93"/>
    <n v="4.2"/>
    <n v="42"/>
    <n v="60"/>
    <n v="70"/>
    <n v="56"/>
    <x v="2"/>
    <x v="0"/>
  </r>
  <r>
    <x v="57"/>
    <n v="10"/>
    <n v="6"/>
    <n v="6"/>
    <n v="8"/>
    <n v="10"/>
    <n v="8"/>
    <n v="435"/>
    <n v="1"/>
    <n v="59"/>
    <n v="8"/>
    <n v="80"/>
    <n v="100"/>
    <n v="50"/>
    <n v="77"/>
    <x v="0"/>
    <x v="1"/>
  </r>
  <r>
    <x v="58"/>
    <n v="10"/>
    <n v="3"/>
    <n v="4"/>
    <n v="2"/>
    <n v="2"/>
    <n v="0"/>
    <n v="71"/>
    <n v="4"/>
    <n v="45"/>
    <n v="4.2"/>
    <n v="42"/>
    <n v="40"/>
    <n v="40"/>
    <n v="41"/>
    <x v="1"/>
    <x v="0"/>
  </r>
  <r>
    <x v="59"/>
    <n v="2"/>
    <n v="1"/>
    <n v="7"/>
    <n v="9"/>
    <n v="2"/>
    <n v="4"/>
    <n v="133"/>
    <n v="3"/>
    <n v="71"/>
    <n v="4.2"/>
    <n v="42"/>
    <n v="40"/>
    <n v="50"/>
    <n v="44"/>
    <x v="0"/>
    <x v="0"/>
  </r>
  <r>
    <x v="60"/>
    <n v="9"/>
    <n v="3"/>
    <n v="7"/>
    <n v="8"/>
    <n v="9"/>
    <n v="0"/>
    <n v="92"/>
    <n v="3"/>
    <n v="80"/>
    <n v="7.2"/>
    <n v="72"/>
    <n v="40"/>
    <n v="30"/>
    <n v="50"/>
    <x v="2"/>
    <x v="0"/>
  </r>
  <r>
    <x v="61"/>
    <n v="4"/>
    <n v="8"/>
    <n v="8"/>
    <n v="2"/>
    <n v="9"/>
    <n v="4"/>
    <n v="171"/>
    <n v="5"/>
    <n v="56"/>
    <n v="6.2"/>
    <n v="62"/>
    <n v="60"/>
    <n v="70"/>
    <n v="64"/>
    <x v="0"/>
    <x v="0"/>
  </r>
  <r>
    <x v="62"/>
    <n v="7"/>
    <n v="7"/>
    <n v="8"/>
    <n v="4"/>
    <n v="9"/>
    <n v="4"/>
    <n v="93"/>
    <n v="3"/>
    <n v="79"/>
    <n v="7"/>
    <n v="70"/>
    <n v="40"/>
    <n v="50"/>
    <n v="55"/>
    <x v="2"/>
    <x v="0"/>
  </r>
  <r>
    <x v="63"/>
    <n v="10"/>
    <n v="10"/>
    <n v="10"/>
    <n v="5"/>
    <n v="2"/>
    <n v="3"/>
    <n v="439"/>
    <n v="0"/>
    <n v="69"/>
    <n v="7.4"/>
    <n v="74"/>
    <n v="100"/>
    <n v="15"/>
    <n v="64"/>
    <x v="0"/>
    <x v="0"/>
  </r>
  <r>
    <x v="64"/>
    <n v="5"/>
    <n v="5"/>
    <n v="2"/>
    <n v="7"/>
    <n v="9"/>
    <n v="5"/>
    <n v="499"/>
    <n v="3"/>
    <n v="54"/>
    <n v="5.6"/>
    <n v="56"/>
    <n v="100"/>
    <n v="55"/>
    <n v="69"/>
    <x v="0"/>
    <x v="0"/>
  </r>
  <r>
    <x v="65"/>
    <n v="8"/>
    <n v="10"/>
    <n v="8"/>
    <n v="9"/>
    <n v="9"/>
    <n v="6"/>
    <n v="493"/>
    <n v="3"/>
    <n v="48"/>
    <n v="8.8000000000000007"/>
    <n v="88"/>
    <n v="100"/>
    <n v="60"/>
    <n v="83"/>
    <x v="1"/>
    <x v="1"/>
  </r>
  <r>
    <x v="66"/>
    <n v="5"/>
    <n v="9"/>
    <n v="10"/>
    <n v="6"/>
    <n v="5"/>
    <n v="4"/>
    <n v="244"/>
    <n v="2"/>
    <n v="52"/>
    <n v="7"/>
    <n v="70"/>
    <n v="60"/>
    <n v="40"/>
    <n v="58"/>
    <x v="0"/>
    <x v="0"/>
  </r>
  <r>
    <x v="67"/>
    <n v="4"/>
    <n v="7"/>
    <n v="7"/>
    <n v="9"/>
    <n v="1"/>
    <n v="1"/>
    <n v="92"/>
    <n v="2"/>
    <n v="89"/>
    <n v="5.6"/>
    <n v="56"/>
    <n v="40"/>
    <n v="25"/>
    <n v="42"/>
    <x v="2"/>
    <x v="0"/>
  </r>
  <r>
    <x v="68"/>
    <n v="9"/>
    <n v="9"/>
    <n v="1"/>
    <n v="8"/>
    <n v="7"/>
    <n v="5"/>
    <n v="315"/>
    <n v="1"/>
    <n v="48"/>
    <n v="6.8"/>
    <n v="68"/>
    <n v="80"/>
    <n v="35"/>
    <n v="62"/>
    <x v="1"/>
    <x v="0"/>
  </r>
  <r>
    <x v="69"/>
    <n v="5"/>
    <n v="10"/>
    <n v="3"/>
    <n v="2"/>
    <n v="7"/>
    <n v="5"/>
    <n v="58"/>
    <n v="3"/>
    <n v="52"/>
    <n v="5.4"/>
    <n v="54"/>
    <n v="40"/>
    <n v="55"/>
    <n v="50"/>
    <x v="0"/>
    <x v="0"/>
  </r>
  <r>
    <x v="70"/>
    <n v="2"/>
    <n v="3"/>
    <n v="3"/>
    <n v="5"/>
    <n v="4"/>
    <n v="7"/>
    <n v="355"/>
    <n v="2"/>
    <n v="64"/>
    <n v="3.4"/>
    <n v="34"/>
    <n v="80"/>
    <n v="55"/>
    <n v="54"/>
    <x v="0"/>
    <x v="0"/>
  </r>
  <r>
    <x v="71"/>
    <n v="7"/>
    <n v="7"/>
    <n v="3"/>
    <n v="8"/>
    <n v="5"/>
    <n v="2"/>
    <n v="425"/>
    <n v="3"/>
    <n v="93"/>
    <n v="6"/>
    <n v="60"/>
    <n v="100"/>
    <n v="40"/>
    <n v="66"/>
    <x v="2"/>
    <x v="0"/>
  </r>
  <r>
    <x v="72"/>
    <n v="4"/>
    <n v="8"/>
    <n v="10"/>
    <n v="1"/>
    <n v="7"/>
    <n v="4"/>
    <n v="372"/>
    <n v="3"/>
    <n v="70"/>
    <n v="6"/>
    <n v="60"/>
    <n v="80"/>
    <n v="50"/>
    <n v="63"/>
    <x v="0"/>
    <x v="0"/>
  </r>
  <r>
    <x v="73"/>
    <n v="9"/>
    <n v="9"/>
    <n v="4"/>
    <n v="10"/>
    <n v="10"/>
    <n v="3"/>
    <n v="184"/>
    <n v="5"/>
    <n v="66"/>
    <n v="8.4"/>
    <n v="84"/>
    <n v="60"/>
    <n v="65"/>
    <n v="71"/>
    <x v="0"/>
    <x v="1"/>
  </r>
  <r>
    <x v="74"/>
    <n v="7"/>
    <n v="2"/>
    <n v="10"/>
    <n v="4"/>
    <n v="9"/>
    <n v="0"/>
    <n v="159"/>
    <n v="4"/>
    <n v="44"/>
    <n v="6.4"/>
    <n v="64"/>
    <n v="60"/>
    <n v="40"/>
    <n v="56"/>
    <x v="1"/>
    <x v="0"/>
  </r>
  <r>
    <x v="75"/>
    <n v="1"/>
    <n v="4"/>
    <n v="2"/>
    <n v="4"/>
    <n v="6"/>
    <n v="4"/>
    <n v="492"/>
    <n v="4"/>
    <n v="67"/>
    <n v="3.4"/>
    <n v="34"/>
    <n v="100"/>
    <n v="60"/>
    <n v="62"/>
    <x v="0"/>
    <x v="0"/>
  </r>
  <r>
    <x v="76"/>
    <n v="6"/>
    <n v="10"/>
    <n v="8"/>
    <n v="6"/>
    <n v="1"/>
    <n v="7"/>
    <n v="433"/>
    <n v="1"/>
    <n v="50"/>
    <n v="6.2"/>
    <n v="62"/>
    <n v="100"/>
    <n v="45"/>
    <n v="68"/>
    <x v="0"/>
    <x v="0"/>
  </r>
  <r>
    <x v="77"/>
    <n v="9"/>
    <n v="6"/>
    <n v="6"/>
    <n v="1"/>
    <n v="5"/>
    <n v="7"/>
    <n v="490"/>
    <n v="3"/>
    <n v="45"/>
    <n v="5.4"/>
    <n v="54"/>
    <n v="100"/>
    <n v="65"/>
    <n v="71"/>
    <x v="1"/>
    <x v="1"/>
  </r>
  <r>
    <x v="78"/>
    <n v="6"/>
    <n v="3"/>
    <n v="4"/>
    <n v="2"/>
    <n v="5"/>
    <n v="0"/>
    <n v="314"/>
    <n v="5"/>
    <n v="65"/>
    <n v="4"/>
    <n v="40"/>
    <n v="80"/>
    <n v="50"/>
    <n v="55"/>
    <x v="0"/>
    <x v="0"/>
  </r>
  <r>
    <x v="79"/>
    <n v="9"/>
    <n v="6"/>
    <n v="4"/>
    <n v="4"/>
    <n v="5"/>
    <n v="3"/>
    <n v="231"/>
    <n v="4"/>
    <n v="84"/>
    <n v="5.6"/>
    <n v="56"/>
    <n v="60"/>
    <n v="55"/>
    <n v="57"/>
    <x v="2"/>
    <x v="0"/>
  </r>
  <r>
    <x v="80"/>
    <n v="5"/>
    <n v="10"/>
    <n v="6"/>
    <n v="1"/>
    <n v="8"/>
    <n v="4"/>
    <n v="382"/>
    <n v="1"/>
    <n v="81"/>
    <n v="6"/>
    <n v="60"/>
    <n v="80"/>
    <n v="30"/>
    <n v="57"/>
    <x v="2"/>
    <x v="0"/>
  </r>
  <r>
    <x v="81"/>
    <n v="3"/>
    <n v="4"/>
    <n v="1"/>
    <n v="3"/>
    <n v="6"/>
    <n v="6"/>
    <n v="233"/>
    <n v="2"/>
    <n v="87"/>
    <n v="3.4"/>
    <n v="34"/>
    <n v="60"/>
    <n v="50"/>
    <n v="47"/>
    <x v="2"/>
    <x v="0"/>
  </r>
  <r>
    <x v="82"/>
    <n v="4"/>
    <n v="2"/>
    <n v="4"/>
    <n v="5"/>
    <n v="7"/>
    <n v="0"/>
    <n v="221"/>
    <n v="5"/>
    <n v="61"/>
    <n v="4.4000000000000004"/>
    <n v="44"/>
    <n v="60"/>
    <n v="50"/>
    <n v="51"/>
    <x v="0"/>
    <x v="0"/>
  </r>
  <r>
    <x v="83"/>
    <n v="3"/>
    <n v="10"/>
    <n v="7"/>
    <n v="9"/>
    <n v="2"/>
    <n v="3"/>
    <n v="70"/>
    <n v="4"/>
    <n v="72"/>
    <n v="6.2"/>
    <n v="62"/>
    <n v="40"/>
    <n v="55"/>
    <n v="53"/>
    <x v="0"/>
    <x v="0"/>
  </r>
  <r>
    <x v="84"/>
    <n v="8"/>
    <n v="8"/>
    <n v="6"/>
    <n v="3"/>
    <n v="3"/>
    <n v="7"/>
    <n v="325"/>
    <n v="4"/>
    <n v="41"/>
    <n v="5.6"/>
    <n v="56"/>
    <n v="80"/>
    <n v="75"/>
    <n v="69"/>
    <x v="1"/>
    <x v="0"/>
  </r>
  <r>
    <x v="85"/>
    <n v="10"/>
    <n v="2"/>
    <n v="3"/>
    <n v="6"/>
    <n v="7"/>
    <n v="4"/>
    <n v="164"/>
    <n v="4"/>
    <n v="61"/>
    <n v="5.6"/>
    <n v="56"/>
    <n v="60"/>
    <n v="60"/>
    <n v="58"/>
    <x v="0"/>
    <x v="0"/>
  </r>
  <r>
    <x v="86"/>
    <n v="5"/>
    <n v="10"/>
    <n v="10"/>
    <n v="5"/>
    <n v="9"/>
    <n v="6"/>
    <n v="360"/>
    <n v="5"/>
    <n v="53"/>
    <n v="7.8"/>
    <n v="78"/>
    <n v="80"/>
    <n v="80"/>
    <n v="79"/>
    <x v="0"/>
    <x v="1"/>
  </r>
  <r>
    <x v="87"/>
    <n v="6"/>
    <n v="6"/>
    <n v="10"/>
    <n v="2"/>
    <n v="3"/>
    <n v="6"/>
    <n v="387"/>
    <n v="3"/>
    <n v="66"/>
    <n v="5.4"/>
    <n v="54"/>
    <n v="80"/>
    <n v="60"/>
    <n v="64"/>
    <x v="0"/>
    <x v="0"/>
  </r>
  <r>
    <x v="88"/>
    <n v="8"/>
    <n v="3"/>
    <n v="10"/>
    <n v="8"/>
    <n v="8"/>
    <n v="4"/>
    <n v="163"/>
    <n v="2"/>
    <n v="49"/>
    <n v="7.4"/>
    <n v="74"/>
    <n v="60"/>
    <n v="40"/>
    <n v="60"/>
    <x v="1"/>
    <x v="0"/>
  </r>
  <r>
    <x v="89"/>
    <n v="9"/>
    <n v="2"/>
    <n v="6"/>
    <n v="8"/>
    <n v="8"/>
    <n v="4"/>
    <n v="357"/>
    <n v="1"/>
    <n v="77"/>
    <n v="6.6"/>
    <n v="66"/>
    <n v="80"/>
    <n v="30"/>
    <n v="59"/>
    <x v="2"/>
    <x v="0"/>
  </r>
  <r>
    <x v="90"/>
    <n v="5"/>
    <n v="5"/>
    <n v="8"/>
    <n v="7"/>
    <n v="8"/>
    <n v="8"/>
    <n v="337"/>
    <n v="1"/>
    <n v="90"/>
    <n v="6.6"/>
    <n v="66"/>
    <n v="80"/>
    <n v="50"/>
    <n v="65"/>
    <x v="2"/>
    <x v="0"/>
  </r>
  <r>
    <x v="91"/>
    <n v="10"/>
    <n v="6"/>
    <n v="7"/>
    <n v="1"/>
    <n v="1"/>
    <n v="1"/>
    <n v="444"/>
    <n v="4"/>
    <n v="47"/>
    <n v="5"/>
    <n v="50"/>
    <n v="100"/>
    <n v="45"/>
    <n v="64"/>
    <x v="1"/>
    <x v="0"/>
  </r>
  <r>
    <x v="92"/>
    <n v="1"/>
    <n v="8"/>
    <n v="2"/>
    <n v="4"/>
    <n v="5"/>
    <n v="7"/>
    <n v="405"/>
    <n v="2"/>
    <n v="46"/>
    <n v="4"/>
    <n v="40"/>
    <n v="100"/>
    <n v="55"/>
    <n v="63"/>
    <x v="1"/>
    <x v="0"/>
  </r>
  <r>
    <x v="93"/>
    <n v="2"/>
    <n v="10"/>
    <n v="10"/>
    <n v="7"/>
    <n v="3"/>
    <n v="6"/>
    <n v="297"/>
    <n v="4"/>
    <n v="56"/>
    <n v="6.4"/>
    <n v="64"/>
    <n v="80"/>
    <n v="70"/>
    <n v="71"/>
    <x v="0"/>
    <x v="1"/>
  </r>
  <r>
    <x v="94"/>
    <n v="4"/>
    <n v="2"/>
    <n v="1"/>
    <n v="2"/>
    <n v="4"/>
    <n v="6"/>
    <n v="343"/>
    <n v="0"/>
    <n v="85"/>
    <n v="2.6"/>
    <n v="26"/>
    <n v="80"/>
    <n v="30"/>
    <n v="43"/>
    <x v="2"/>
    <x v="0"/>
  </r>
  <r>
    <x v="95"/>
    <n v="1"/>
    <n v="10"/>
    <n v="2"/>
    <n v="6"/>
    <n v="9"/>
    <n v="2"/>
    <n v="151"/>
    <n v="3"/>
    <n v="44"/>
    <n v="5.6"/>
    <n v="56"/>
    <n v="60"/>
    <n v="40"/>
    <n v="52"/>
    <x v="1"/>
    <x v="0"/>
  </r>
  <r>
    <x v="96"/>
    <n v="1"/>
    <n v="1"/>
    <n v="4"/>
    <n v="1"/>
    <n v="6"/>
    <n v="8"/>
    <n v="52"/>
    <n v="0"/>
    <n v="44"/>
    <n v="2.6"/>
    <n v="26"/>
    <n v="40"/>
    <n v="40"/>
    <n v="34"/>
    <x v="1"/>
    <x v="2"/>
  </r>
  <r>
    <x v="97"/>
    <n v="4"/>
    <n v="2"/>
    <n v="4"/>
    <n v="5"/>
    <n v="1"/>
    <n v="3"/>
    <n v="208"/>
    <n v="2"/>
    <n v="58"/>
    <n v="3.2"/>
    <n v="32"/>
    <n v="60"/>
    <n v="35"/>
    <n v="41"/>
    <x v="0"/>
    <x v="0"/>
  </r>
  <r>
    <x v="98"/>
    <n v="10"/>
    <n v="6"/>
    <n v="2"/>
    <n v="6"/>
    <n v="10"/>
    <n v="2"/>
    <n v="127"/>
    <n v="4"/>
    <n v="59"/>
    <n v="6.8"/>
    <n v="68"/>
    <n v="40"/>
    <n v="50"/>
    <n v="54"/>
    <x v="0"/>
    <x v="0"/>
  </r>
  <r>
    <x v="99"/>
    <n v="6"/>
    <n v="9"/>
    <n v="2"/>
    <n v="10"/>
    <n v="1"/>
    <n v="4"/>
    <n v="265"/>
    <n v="2"/>
    <n v="94"/>
    <n v="5.6"/>
    <n v="56"/>
    <n v="80"/>
    <n v="40"/>
    <n v="58"/>
    <x v="2"/>
    <x v="0"/>
  </r>
  <r>
    <x v="100"/>
    <n v="1"/>
    <n v="9"/>
    <n v="4"/>
    <n v="10"/>
    <n v="6"/>
    <n v="1"/>
    <n v="500"/>
    <n v="5"/>
    <n v="52"/>
    <n v="6"/>
    <n v="60"/>
    <n v="100"/>
    <n v="55"/>
    <n v="71"/>
    <x v="0"/>
    <x v="1"/>
  </r>
  <r>
    <x v="101"/>
    <n v="3"/>
    <n v="9"/>
    <n v="10"/>
    <n v="5"/>
    <n v="2"/>
    <n v="0"/>
    <n v="413"/>
    <n v="2"/>
    <n v="80"/>
    <n v="5.8"/>
    <n v="58"/>
    <n v="100"/>
    <n v="20"/>
    <n v="59"/>
    <x v="2"/>
    <x v="0"/>
  </r>
  <r>
    <x v="102"/>
    <n v="3"/>
    <n v="2"/>
    <n v="3"/>
    <n v="7"/>
    <n v="1"/>
    <n v="2"/>
    <n v="387"/>
    <n v="0"/>
    <n v="70"/>
    <n v="3.2"/>
    <n v="32"/>
    <n v="80"/>
    <n v="10"/>
    <n v="40"/>
    <x v="0"/>
    <x v="0"/>
  </r>
  <r>
    <x v="103"/>
    <n v="10"/>
    <n v="9"/>
    <n v="8"/>
    <n v="5"/>
    <n v="1"/>
    <n v="8"/>
    <n v="265"/>
    <n v="0"/>
    <n v="42"/>
    <n v="6.6"/>
    <n v="66"/>
    <n v="80"/>
    <n v="40"/>
    <n v="62"/>
    <x v="1"/>
    <x v="0"/>
  </r>
  <r>
    <x v="104"/>
    <n v="4"/>
    <n v="5"/>
    <n v="8"/>
    <n v="2"/>
    <n v="7"/>
    <n v="8"/>
    <n v="170"/>
    <n v="2"/>
    <n v="66"/>
    <n v="5.2"/>
    <n v="52"/>
    <n v="60"/>
    <n v="60"/>
    <n v="57"/>
    <x v="0"/>
    <x v="0"/>
  </r>
  <r>
    <x v="105"/>
    <n v="3"/>
    <n v="10"/>
    <n v="5"/>
    <n v="7"/>
    <n v="3"/>
    <n v="2"/>
    <n v="235"/>
    <n v="0"/>
    <n v="67"/>
    <n v="5.6"/>
    <n v="56"/>
    <n v="60"/>
    <n v="10"/>
    <n v="43"/>
    <x v="0"/>
    <x v="0"/>
  </r>
  <r>
    <x v="106"/>
    <n v="1"/>
    <n v="10"/>
    <n v="4"/>
    <n v="1"/>
    <n v="6"/>
    <n v="5"/>
    <n v="457"/>
    <n v="5"/>
    <n v="58"/>
    <n v="4.4000000000000004"/>
    <n v="44"/>
    <n v="100"/>
    <n v="75"/>
    <n v="70"/>
    <x v="0"/>
    <x v="0"/>
  </r>
  <r>
    <x v="107"/>
    <n v="8"/>
    <n v="5"/>
    <n v="7"/>
    <n v="1"/>
    <n v="5"/>
    <n v="7"/>
    <n v="304"/>
    <n v="0"/>
    <n v="60"/>
    <n v="5.2"/>
    <n v="52"/>
    <n v="80"/>
    <n v="35"/>
    <n v="55"/>
    <x v="0"/>
    <x v="0"/>
  </r>
  <r>
    <x v="108"/>
    <n v="7"/>
    <n v="7"/>
    <n v="2"/>
    <n v="3"/>
    <n v="3"/>
    <n v="1"/>
    <n v="250"/>
    <n v="3"/>
    <n v="49"/>
    <n v="4.4000000000000004"/>
    <n v="44"/>
    <n v="80"/>
    <n v="35"/>
    <n v="52"/>
    <x v="1"/>
    <x v="0"/>
  </r>
  <r>
    <x v="109"/>
    <n v="5"/>
    <n v="9"/>
    <n v="1"/>
    <n v="3"/>
    <n v="2"/>
    <n v="8"/>
    <n v="395"/>
    <n v="5"/>
    <n v="92"/>
    <n v="4"/>
    <n v="40"/>
    <n v="80"/>
    <n v="90"/>
    <n v="67"/>
    <x v="2"/>
    <x v="0"/>
  </r>
  <r>
    <x v="110"/>
    <n v="1"/>
    <n v="6"/>
    <n v="8"/>
    <n v="2"/>
    <n v="3"/>
    <n v="7"/>
    <n v="144"/>
    <n v="0"/>
    <n v="92"/>
    <n v="4"/>
    <n v="40"/>
    <n v="40"/>
    <n v="35"/>
    <n v="39"/>
    <x v="2"/>
    <x v="2"/>
  </r>
  <r>
    <x v="111"/>
    <n v="5"/>
    <n v="4"/>
    <n v="10"/>
    <n v="4"/>
    <n v="3"/>
    <n v="8"/>
    <n v="345"/>
    <n v="2"/>
    <n v="72"/>
    <n v="5.2"/>
    <n v="52"/>
    <n v="80"/>
    <n v="60"/>
    <n v="63"/>
    <x v="0"/>
    <x v="0"/>
  </r>
  <r>
    <x v="112"/>
    <n v="8"/>
    <n v="8"/>
    <n v="9"/>
    <n v="5"/>
    <n v="3"/>
    <n v="4"/>
    <n v="281"/>
    <n v="1"/>
    <n v="76"/>
    <n v="6.6"/>
    <n v="66"/>
    <n v="80"/>
    <n v="30"/>
    <n v="59"/>
    <x v="2"/>
    <x v="0"/>
  </r>
  <r>
    <x v="113"/>
    <n v="8"/>
    <n v="9"/>
    <n v="6"/>
    <n v="3"/>
    <n v="3"/>
    <n v="0"/>
    <n v="479"/>
    <n v="5"/>
    <n v="81"/>
    <n v="5.8"/>
    <n v="58"/>
    <n v="100"/>
    <n v="50"/>
    <n v="68"/>
    <x v="2"/>
    <x v="0"/>
  </r>
  <r>
    <x v="114"/>
    <n v="9"/>
    <n v="1"/>
    <n v="4"/>
    <n v="3"/>
    <n v="7"/>
    <n v="4"/>
    <n v="323"/>
    <n v="0"/>
    <n v="59"/>
    <n v="4.8"/>
    <n v="48"/>
    <n v="80"/>
    <n v="20"/>
    <n v="49"/>
    <x v="0"/>
    <x v="0"/>
  </r>
  <r>
    <x v="115"/>
    <n v="3"/>
    <n v="6"/>
    <n v="9"/>
    <n v="9"/>
    <n v="7"/>
    <n v="2"/>
    <n v="409"/>
    <n v="3"/>
    <n v="55"/>
    <n v="6.8"/>
    <n v="68"/>
    <n v="100"/>
    <n v="40"/>
    <n v="69"/>
    <x v="0"/>
    <x v="0"/>
  </r>
  <r>
    <x v="116"/>
    <n v="6"/>
    <n v="10"/>
    <n v="10"/>
    <n v="7"/>
    <n v="2"/>
    <n v="8"/>
    <n v="284"/>
    <n v="3"/>
    <n v="42"/>
    <n v="7"/>
    <n v="70"/>
    <n v="80"/>
    <n v="70"/>
    <n v="73"/>
    <x v="1"/>
    <x v="1"/>
  </r>
  <r>
    <x v="117"/>
    <n v="6"/>
    <n v="7"/>
    <n v="10"/>
    <n v="2"/>
    <n v="5"/>
    <n v="8"/>
    <n v="367"/>
    <n v="0"/>
    <n v="67"/>
    <n v="6"/>
    <n v="60"/>
    <n v="80"/>
    <n v="40"/>
    <n v="60"/>
    <x v="0"/>
    <x v="0"/>
  </r>
  <r>
    <x v="118"/>
    <n v="5"/>
    <n v="10"/>
    <n v="8"/>
    <n v="9"/>
    <n v="4"/>
    <n v="4"/>
    <n v="351"/>
    <n v="1"/>
    <n v="51"/>
    <n v="7.2"/>
    <n v="72"/>
    <n v="80"/>
    <n v="30"/>
    <n v="62"/>
    <x v="0"/>
    <x v="0"/>
  </r>
  <r>
    <x v="119"/>
    <n v="4"/>
    <n v="6"/>
    <n v="5"/>
    <n v="4"/>
    <n v="4"/>
    <n v="7"/>
    <n v="281"/>
    <n v="0"/>
    <n v="43"/>
    <n v="4.5999999999999996"/>
    <n v="46"/>
    <n v="80"/>
    <n v="35"/>
    <n v="53"/>
    <x v="1"/>
    <x v="0"/>
  </r>
  <r>
    <x v="120"/>
    <n v="6"/>
    <n v="10"/>
    <n v="9"/>
    <n v="9"/>
    <n v="1"/>
    <n v="7"/>
    <n v="185"/>
    <n v="1"/>
    <n v="53"/>
    <n v="7"/>
    <n v="70"/>
    <n v="60"/>
    <n v="45"/>
    <n v="60"/>
    <x v="0"/>
    <x v="0"/>
  </r>
  <r>
    <x v="121"/>
    <n v="8"/>
    <n v="7"/>
    <n v="1"/>
    <n v="1"/>
    <n v="9"/>
    <n v="2"/>
    <n v="83"/>
    <n v="1"/>
    <n v="64"/>
    <n v="5.2"/>
    <n v="52"/>
    <n v="40"/>
    <n v="20"/>
    <n v="39"/>
    <x v="0"/>
    <x v="2"/>
  </r>
  <r>
    <x v="122"/>
    <n v="4"/>
    <n v="3"/>
    <n v="5"/>
    <n v="3"/>
    <n v="9"/>
    <n v="4"/>
    <n v="306"/>
    <n v="3"/>
    <n v="95"/>
    <n v="4.8"/>
    <n v="48"/>
    <n v="80"/>
    <n v="50"/>
    <n v="58"/>
    <x v="2"/>
    <x v="0"/>
  </r>
  <r>
    <x v="123"/>
    <n v="9"/>
    <n v="1"/>
    <n v="4"/>
    <n v="6"/>
    <n v="5"/>
    <n v="7"/>
    <n v="296"/>
    <n v="2"/>
    <n v="40"/>
    <n v="5"/>
    <n v="50"/>
    <n v="80"/>
    <n v="55"/>
    <n v="61"/>
    <x v="1"/>
    <x v="0"/>
  </r>
  <r>
    <x v="124"/>
    <n v="2"/>
    <n v="7"/>
    <n v="8"/>
    <n v="9"/>
    <n v="8"/>
    <n v="0"/>
    <n v="136"/>
    <n v="0"/>
    <n v="52"/>
    <n v="6.8"/>
    <n v="68"/>
    <n v="40"/>
    <n v="0"/>
    <n v="39"/>
    <x v="0"/>
    <x v="2"/>
  </r>
  <r>
    <x v="125"/>
    <n v="2"/>
    <n v="7"/>
    <n v="8"/>
    <n v="5"/>
    <n v="1"/>
    <n v="2"/>
    <n v="474"/>
    <n v="0"/>
    <n v="88"/>
    <n v="4.5999999999999996"/>
    <n v="46"/>
    <n v="100"/>
    <n v="10"/>
    <n v="51"/>
    <x v="2"/>
    <x v="0"/>
  </r>
  <r>
    <x v="126"/>
    <n v="5"/>
    <n v="9"/>
    <n v="6"/>
    <n v="10"/>
    <n v="3"/>
    <n v="2"/>
    <n v="255"/>
    <n v="3"/>
    <n v="81"/>
    <n v="6.6"/>
    <n v="66"/>
    <n v="80"/>
    <n v="40"/>
    <n v="62"/>
    <x v="2"/>
    <x v="0"/>
  </r>
  <r>
    <x v="127"/>
    <n v="1"/>
    <n v="3"/>
    <n v="7"/>
    <n v="9"/>
    <n v="6"/>
    <n v="1"/>
    <n v="446"/>
    <n v="3"/>
    <n v="61"/>
    <n v="5.2"/>
    <n v="52"/>
    <n v="100"/>
    <n v="35"/>
    <n v="61"/>
    <x v="0"/>
    <x v="0"/>
  </r>
  <r>
    <x v="128"/>
    <n v="8"/>
    <n v="8"/>
    <n v="1"/>
    <n v="4"/>
    <n v="1"/>
    <n v="7"/>
    <n v="277"/>
    <n v="3"/>
    <n v="75"/>
    <n v="4.4000000000000004"/>
    <n v="44"/>
    <n v="80"/>
    <n v="65"/>
    <n v="61"/>
    <x v="2"/>
    <x v="0"/>
  </r>
  <r>
    <x v="129"/>
    <n v="5"/>
    <n v="6"/>
    <n v="2"/>
    <n v="5"/>
    <n v="6"/>
    <n v="2"/>
    <n v="124"/>
    <n v="4"/>
    <n v="44"/>
    <n v="4.8"/>
    <n v="48"/>
    <n v="40"/>
    <n v="50"/>
    <n v="46"/>
    <x v="1"/>
    <x v="0"/>
  </r>
  <r>
    <x v="130"/>
    <n v="9"/>
    <n v="7"/>
    <n v="8"/>
    <n v="6"/>
    <n v="2"/>
    <n v="4"/>
    <n v="410"/>
    <n v="2"/>
    <n v="46"/>
    <n v="6.4"/>
    <n v="64"/>
    <n v="100"/>
    <n v="40"/>
    <n v="68"/>
    <x v="1"/>
    <x v="0"/>
  </r>
  <r>
    <x v="131"/>
    <n v="3"/>
    <n v="4"/>
    <n v="7"/>
    <n v="9"/>
    <n v="8"/>
    <n v="8"/>
    <n v="188"/>
    <n v="4"/>
    <n v="51"/>
    <n v="6.2"/>
    <n v="62"/>
    <n v="60"/>
    <n v="80"/>
    <n v="67"/>
    <x v="0"/>
    <x v="0"/>
  </r>
  <r>
    <x v="132"/>
    <n v="6"/>
    <n v="6"/>
    <n v="10"/>
    <n v="8"/>
    <n v="9"/>
    <n v="7"/>
    <n v="470"/>
    <n v="1"/>
    <n v="60"/>
    <n v="7.8"/>
    <n v="78"/>
    <n v="100"/>
    <n v="45"/>
    <n v="75"/>
    <x v="0"/>
    <x v="1"/>
  </r>
  <r>
    <x v="133"/>
    <n v="4"/>
    <n v="5"/>
    <n v="8"/>
    <n v="10"/>
    <n v="8"/>
    <n v="5"/>
    <n v="316"/>
    <n v="5"/>
    <n v="79"/>
    <n v="7"/>
    <n v="70"/>
    <n v="80"/>
    <n v="75"/>
    <n v="75"/>
    <x v="2"/>
    <x v="1"/>
  </r>
  <r>
    <x v="134"/>
    <n v="4"/>
    <n v="3"/>
    <n v="5"/>
    <n v="2"/>
    <n v="8"/>
    <n v="3"/>
    <n v="457"/>
    <n v="5"/>
    <n v="65"/>
    <n v="4.4000000000000004"/>
    <n v="44"/>
    <n v="100"/>
    <n v="65"/>
    <n v="67"/>
    <x v="0"/>
    <x v="0"/>
  </r>
  <r>
    <x v="135"/>
    <n v="1"/>
    <n v="5"/>
    <n v="1"/>
    <n v="4"/>
    <n v="4"/>
    <n v="5"/>
    <n v="426"/>
    <n v="2"/>
    <n v="66"/>
    <n v="3"/>
    <n v="30"/>
    <n v="100"/>
    <n v="45"/>
    <n v="56"/>
    <x v="0"/>
    <x v="0"/>
  </r>
  <r>
    <x v="136"/>
    <n v="4"/>
    <n v="3"/>
    <n v="2"/>
    <n v="7"/>
    <n v="2"/>
    <n v="3"/>
    <n v="178"/>
    <n v="1"/>
    <n v="71"/>
    <n v="3.6"/>
    <n v="36"/>
    <n v="60"/>
    <n v="25"/>
    <n v="40"/>
    <x v="0"/>
    <x v="0"/>
  </r>
  <r>
    <x v="137"/>
    <n v="4"/>
    <n v="8"/>
    <n v="3"/>
    <n v="8"/>
    <n v="7"/>
    <n v="5"/>
    <n v="264"/>
    <n v="1"/>
    <n v="73"/>
    <n v="6"/>
    <n v="60"/>
    <n v="80"/>
    <n v="35"/>
    <n v="59"/>
    <x v="0"/>
    <x v="0"/>
  </r>
  <r>
    <x v="138"/>
    <n v="2"/>
    <n v="7"/>
    <n v="5"/>
    <n v="8"/>
    <n v="3"/>
    <n v="4"/>
    <n v="458"/>
    <n v="0"/>
    <n v="49"/>
    <n v="5"/>
    <n v="50"/>
    <n v="100"/>
    <n v="20"/>
    <n v="56"/>
    <x v="1"/>
    <x v="0"/>
  </r>
  <r>
    <x v="139"/>
    <n v="7"/>
    <n v="6"/>
    <n v="8"/>
    <n v="5"/>
    <n v="5"/>
    <n v="2"/>
    <n v="442"/>
    <n v="2"/>
    <n v="49"/>
    <n v="6.2"/>
    <n v="62"/>
    <n v="100"/>
    <n v="30"/>
    <n v="64"/>
    <x v="1"/>
    <x v="0"/>
  </r>
  <r>
    <x v="140"/>
    <n v="1"/>
    <n v="10"/>
    <n v="4"/>
    <n v="4"/>
    <n v="4"/>
    <n v="6"/>
    <n v="382"/>
    <n v="4"/>
    <n v="68"/>
    <n v="4.5999999999999996"/>
    <n v="46"/>
    <n v="80"/>
    <n v="70"/>
    <n v="63"/>
    <x v="0"/>
    <x v="0"/>
  </r>
  <r>
    <x v="141"/>
    <n v="9"/>
    <n v="8"/>
    <n v="6"/>
    <n v="2"/>
    <n v="3"/>
    <n v="2"/>
    <n v="163"/>
    <n v="1"/>
    <n v="40"/>
    <n v="5.6"/>
    <n v="56"/>
    <n v="60"/>
    <n v="20"/>
    <n v="46"/>
    <x v="1"/>
    <x v="0"/>
  </r>
  <r>
    <x v="142"/>
    <n v="7"/>
    <n v="1"/>
    <n v="8"/>
    <n v="2"/>
    <n v="1"/>
    <n v="7"/>
    <n v="233"/>
    <n v="5"/>
    <n v="92"/>
    <n v="3.8"/>
    <n v="38"/>
    <n v="60"/>
    <n v="85"/>
    <n v="59"/>
    <x v="2"/>
    <x v="0"/>
  </r>
  <r>
    <x v="143"/>
    <n v="7"/>
    <n v="1"/>
    <n v="8"/>
    <n v="4"/>
    <n v="2"/>
    <n v="8"/>
    <n v="190"/>
    <n v="5"/>
    <n v="41"/>
    <n v="4.4000000000000004"/>
    <n v="44"/>
    <n v="60"/>
    <n v="90"/>
    <n v="63"/>
    <x v="1"/>
    <x v="0"/>
  </r>
  <r>
    <x v="144"/>
    <n v="6"/>
    <n v="4"/>
    <n v="5"/>
    <n v="6"/>
    <n v="3"/>
    <n v="5"/>
    <n v="452"/>
    <n v="1"/>
    <n v="85"/>
    <n v="4.8"/>
    <n v="48"/>
    <n v="100"/>
    <n v="35"/>
    <n v="60"/>
    <x v="2"/>
    <x v="0"/>
  </r>
  <r>
    <x v="145"/>
    <n v="4"/>
    <n v="7"/>
    <n v="8"/>
    <n v="5"/>
    <n v="8"/>
    <n v="4"/>
    <n v="420"/>
    <n v="0"/>
    <n v="67"/>
    <n v="6.4"/>
    <n v="64"/>
    <n v="100"/>
    <n v="20"/>
    <n v="62"/>
    <x v="0"/>
    <x v="0"/>
  </r>
  <r>
    <x v="146"/>
    <n v="3"/>
    <n v="7"/>
    <n v="9"/>
    <n v="4"/>
    <n v="5"/>
    <n v="3"/>
    <n v="433"/>
    <n v="0"/>
    <n v="56"/>
    <n v="5.6"/>
    <n v="56"/>
    <n v="100"/>
    <n v="15"/>
    <n v="57"/>
    <x v="0"/>
    <x v="0"/>
  </r>
  <r>
    <x v="147"/>
    <n v="4"/>
    <n v="10"/>
    <n v="8"/>
    <n v="9"/>
    <n v="4"/>
    <n v="1"/>
    <n v="311"/>
    <n v="2"/>
    <n v="52"/>
    <n v="7"/>
    <n v="70"/>
    <n v="80"/>
    <n v="25"/>
    <n v="60"/>
    <x v="0"/>
    <x v="0"/>
  </r>
  <r>
    <x v="148"/>
    <n v="2"/>
    <n v="4"/>
    <n v="5"/>
    <n v="3"/>
    <n v="10"/>
    <n v="7"/>
    <n v="300"/>
    <n v="1"/>
    <n v="58"/>
    <n v="4.8"/>
    <n v="48"/>
    <n v="80"/>
    <n v="45"/>
    <n v="57"/>
    <x v="0"/>
    <x v="0"/>
  </r>
  <r>
    <x v="149"/>
    <n v="3"/>
    <n v="2"/>
    <n v="4"/>
    <n v="2"/>
    <n v="1"/>
    <n v="7"/>
    <n v="279"/>
    <n v="4"/>
    <n v="42"/>
    <n v="2.4"/>
    <n v="24"/>
    <n v="80"/>
    <n v="75"/>
    <n v="56"/>
    <x v="1"/>
    <x v="0"/>
  </r>
  <r>
    <x v="150"/>
    <n v="3"/>
    <n v="6"/>
    <n v="7"/>
    <n v="1"/>
    <n v="2"/>
    <n v="6"/>
    <n v="105"/>
    <n v="2"/>
    <n v="83"/>
    <n v="3.8"/>
    <n v="38"/>
    <n v="40"/>
    <n v="50"/>
    <n v="42"/>
    <x v="2"/>
    <x v="0"/>
  </r>
  <r>
    <x v="151"/>
    <n v="4"/>
    <n v="10"/>
    <n v="10"/>
    <n v="10"/>
    <n v="6"/>
    <n v="4"/>
    <n v="67"/>
    <n v="5"/>
    <n v="47"/>
    <n v="8"/>
    <n v="80"/>
    <n v="40"/>
    <n v="70"/>
    <n v="65"/>
    <x v="1"/>
    <x v="0"/>
  </r>
  <r>
    <x v="152"/>
    <n v="9"/>
    <n v="4"/>
    <n v="8"/>
    <n v="7"/>
    <n v="5"/>
    <n v="4"/>
    <n v="308"/>
    <n v="0"/>
    <n v="89"/>
    <n v="6.6"/>
    <n v="66"/>
    <n v="80"/>
    <n v="20"/>
    <n v="56"/>
    <x v="2"/>
    <x v="0"/>
  </r>
  <r>
    <x v="153"/>
    <n v="2"/>
    <n v="8"/>
    <n v="6"/>
    <n v="2"/>
    <n v="10"/>
    <n v="3"/>
    <n v="85"/>
    <n v="4"/>
    <n v="75"/>
    <n v="5.6"/>
    <n v="56"/>
    <n v="40"/>
    <n v="55"/>
    <n v="51"/>
    <x v="2"/>
    <x v="0"/>
  </r>
  <r>
    <x v="154"/>
    <n v="10"/>
    <n v="4"/>
    <n v="5"/>
    <n v="3"/>
    <n v="9"/>
    <n v="1"/>
    <n v="195"/>
    <n v="1"/>
    <n v="60"/>
    <n v="6.2"/>
    <n v="62"/>
    <n v="60"/>
    <n v="15"/>
    <n v="47"/>
    <x v="0"/>
    <x v="0"/>
  </r>
  <r>
    <x v="155"/>
    <n v="8"/>
    <n v="4"/>
    <n v="3"/>
    <n v="10"/>
    <n v="8"/>
    <n v="7"/>
    <n v="382"/>
    <n v="3"/>
    <n v="64"/>
    <n v="6.6"/>
    <n v="66"/>
    <n v="80"/>
    <n v="65"/>
    <n v="70"/>
    <x v="0"/>
    <x v="0"/>
  </r>
  <r>
    <x v="156"/>
    <n v="1"/>
    <n v="1"/>
    <n v="1"/>
    <n v="6"/>
    <n v="9"/>
    <n v="4"/>
    <n v="297"/>
    <n v="4"/>
    <n v="69"/>
    <n v="3.6"/>
    <n v="36"/>
    <n v="80"/>
    <n v="60"/>
    <n v="56"/>
    <x v="0"/>
    <x v="0"/>
  </r>
  <r>
    <x v="157"/>
    <n v="3"/>
    <n v="5"/>
    <n v="3"/>
    <n v="9"/>
    <n v="3"/>
    <n v="3"/>
    <n v="416"/>
    <n v="4"/>
    <n v="91"/>
    <n v="4.5999999999999996"/>
    <n v="46"/>
    <n v="100"/>
    <n v="55"/>
    <n v="65"/>
    <x v="2"/>
    <x v="0"/>
  </r>
  <r>
    <x v="158"/>
    <n v="5"/>
    <n v="3"/>
    <n v="1"/>
    <n v="4"/>
    <n v="8"/>
    <n v="4"/>
    <n v="157"/>
    <n v="4"/>
    <n v="83"/>
    <n v="4.2"/>
    <n v="42"/>
    <n v="60"/>
    <n v="60"/>
    <n v="53"/>
    <x v="2"/>
    <x v="0"/>
  </r>
  <r>
    <x v="159"/>
    <n v="5"/>
    <n v="6"/>
    <n v="8"/>
    <n v="6"/>
    <n v="1"/>
    <n v="1"/>
    <n v="106"/>
    <n v="5"/>
    <n v="91"/>
    <n v="5.2"/>
    <n v="52"/>
    <n v="40"/>
    <n v="55"/>
    <n v="49"/>
    <x v="2"/>
    <x v="0"/>
  </r>
  <r>
    <x v="160"/>
    <n v="9"/>
    <n v="2"/>
    <n v="4"/>
    <n v="7"/>
    <n v="2"/>
    <n v="8"/>
    <n v="297"/>
    <n v="3"/>
    <n v="77"/>
    <n v="4.8"/>
    <n v="48"/>
    <n v="80"/>
    <n v="70"/>
    <n v="64"/>
    <x v="2"/>
    <x v="0"/>
  </r>
  <r>
    <x v="161"/>
    <n v="8"/>
    <n v="2"/>
    <n v="2"/>
    <n v="3"/>
    <n v="2"/>
    <n v="6"/>
    <n v="252"/>
    <n v="3"/>
    <n v="57"/>
    <n v="3.4"/>
    <n v="34"/>
    <n v="80"/>
    <n v="60"/>
    <n v="56"/>
    <x v="0"/>
    <x v="0"/>
  </r>
  <r>
    <x v="162"/>
    <n v="5"/>
    <n v="7"/>
    <n v="3"/>
    <n v="2"/>
    <n v="2"/>
    <n v="3"/>
    <n v="488"/>
    <n v="0"/>
    <n v="56"/>
    <n v="3.8"/>
    <n v="38"/>
    <n v="100"/>
    <n v="15"/>
    <n v="50"/>
    <x v="0"/>
    <x v="0"/>
  </r>
  <r>
    <x v="163"/>
    <n v="7"/>
    <n v="7"/>
    <n v="7"/>
    <n v="10"/>
    <n v="2"/>
    <n v="3"/>
    <n v="53"/>
    <n v="2"/>
    <n v="80"/>
    <n v="6.6"/>
    <n v="66"/>
    <n v="40"/>
    <n v="35"/>
    <n v="49"/>
    <x v="2"/>
    <x v="0"/>
  </r>
  <r>
    <x v="164"/>
    <n v="5"/>
    <n v="1"/>
    <n v="1"/>
    <n v="9"/>
    <n v="9"/>
    <n v="0"/>
    <n v="361"/>
    <n v="2"/>
    <n v="79"/>
    <n v="5"/>
    <n v="50"/>
    <n v="80"/>
    <n v="20"/>
    <n v="50"/>
    <x v="2"/>
    <x v="0"/>
  </r>
  <r>
    <x v="165"/>
    <n v="8"/>
    <n v="10"/>
    <n v="1"/>
    <n v="7"/>
    <n v="3"/>
    <n v="0"/>
    <n v="64"/>
    <n v="5"/>
    <n v="76"/>
    <n v="5.8"/>
    <n v="58"/>
    <n v="40"/>
    <n v="50"/>
    <n v="50"/>
    <x v="2"/>
    <x v="0"/>
  </r>
  <r>
    <x v="166"/>
    <n v="2"/>
    <n v="3"/>
    <n v="9"/>
    <n v="1"/>
    <n v="6"/>
    <n v="6"/>
    <n v="355"/>
    <n v="0"/>
    <n v="91"/>
    <n v="4.2"/>
    <n v="42"/>
    <n v="80"/>
    <n v="30"/>
    <n v="50"/>
    <x v="2"/>
    <x v="0"/>
  </r>
  <r>
    <x v="167"/>
    <n v="10"/>
    <n v="8"/>
    <n v="4"/>
    <n v="9"/>
    <n v="5"/>
    <n v="3"/>
    <n v="499"/>
    <n v="5"/>
    <n v="82"/>
    <n v="7.2"/>
    <n v="72"/>
    <n v="100"/>
    <n v="65"/>
    <n v="78"/>
    <x v="2"/>
    <x v="1"/>
  </r>
  <r>
    <x v="168"/>
    <n v="2"/>
    <n v="7"/>
    <n v="10"/>
    <n v="10"/>
    <n v="8"/>
    <n v="2"/>
    <n v="478"/>
    <n v="0"/>
    <n v="78"/>
    <n v="7.4"/>
    <n v="74"/>
    <n v="100"/>
    <n v="10"/>
    <n v="63"/>
    <x v="2"/>
    <x v="0"/>
  </r>
  <r>
    <x v="169"/>
    <n v="6"/>
    <n v="3"/>
    <n v="8"/>
    <n v="9"/>
    <n v="6"/>
    <n v="8"/>
    <n v="255"/>
    <n v="3"/>
    <n v="90"/>
    <n v="6.4"/>
    <n v="64"/>
    <n v="80"/>
    <n v="70"/>
    <n v="71"/>
    <x v="2"/>
    <x v="1"/>
  </r>
  <r>
    <x v="170"/>
    <n v="7"/>
    <n v="2"/>
    <n v="1"/>
    <n v="6"/>
    <n v="6"/>
    <n v="0"/>
    <n v="417"/>
    <n v="2"/>
    <n v="49"/>
    <n v="4.4000000000000004"/>
    <n v="44"/>
    <n v="100"/>
    <n v="20"/>
    <n v="54"/>
    <x v="1"/>
    <x v="0"/>
  </r>
  <r>
    <x v="171"/>
    <n v="7"/>
    <n v="3"/>
    <n v="9"/>
    <n v="5"/>
    <n v="10"/>
    <n v="5"/>
    <n v="308"/>
    <n v="5"/>
    <n v="87"/>
    <n v="6.8"/>
    <n v="68"/>
    <n v="80"/>
    <n v="75"/>
    <n v="74"/>
    <x v="2"/>
    <x v="1"/>
  </r>
  <r>
    <x v="172"/>
    <n v="2"/>
    <n v="2"/>
    <n v="9"/>
    <n v="8"/>
    <n v="7"/>
    <n v="6"/>
    <n v="95"/>
    <n v="5"/>
    <n v="54"/>
    <n v="5.6"/>
    <n v="56"/>
    <n v="40"/>
    <n v="80"/>
    <n v="58"/>
    <x v="0"/>
    <x v="0"/>
  </r>
  <r>
    <x v="173"/>
    <n v="7"/>
    <n v="1"/>
    <n v="6"/>
    <n v="5"/>
    <n v="7"/>
    <n v="1"/>
    <n v="473"/>
    <n v="0"/>
    <n v="81"/>
    <n v="5.2"/>
    <n v="52"/>
    <n v="100"/>
    <n v="5"/>
    <n v="52"/>
    <x v="2"/>
    <x v="0"/>
  </r>
  <r>
    <x v="174"/>
    <n v="3"/>
    <n v="4"/>
    <n v="5"/>
    <n v="6"/>
    <n v="6"/>
    <n v="0"/>
    <n v="94"/>
    <n v="1"/>
    <n v="59"/>
    <n v="4.8"/>
    <n v="48"/>
    <n v="40"/>
    <n v="10"/>
    <n v="34"/>
    <x v="0"/>
    <x v="2"/>
  </r>
  <r>
    <x v="175"/>
    <n v="1"/>
    <n v="9"/>
    <n v="10"/>
    <n v="10"/>
    <n v="6"/>
    <n v="8"/>
    <n v="273"/>
    <n v="2"/>
    <n v="95"/>
    <n v="7.2"/>
    <n v="72"/>
    <n v="80"/>
    <n v="60"/>
    <n v="71"/>
    <x v="2"/>
    <x v="1"/>
  </r>
  <r>
    <x v="176"/>
    <n v="10"/>
    <n v="5"/>
    <n v="10"/>
    <n v="9"/>
    <n v="1"/>
    <n v="0"/>
    <n v="438"/>
    <n v="2"/>
    <n v="47"/>
    <n v="7"/>
    <n v="70"/>
    <n v="100"/>
    <n v="20"/>
    <n v="64"/>
    <x v="1"/>
    <x v="0"/>
  </r>
  <r>
    <x v="177"/>
    <n v="8"/>
    <n v="4"/>
    <n v="7"/>
    <n v="9"/>
    <n v="9"/>
    <n v="4"/>
    <n v="210"/>
    <n v="2"/>
    <n v="45"/>
    <n v="7.4"/>
    <n v="74"/>
    <n v="60"/>
    <n v="40"/>
    <n v="60"/>
    <x v="1"/>
    <x v="0"/>
  </r>
  <r>
    <x v="178"/>
    <n v="6"/>
    <n v="5"/>
    <n v="9"/>
    <n v="6"/>
    <n v="8"/>
    <n v="3"/>
    <n v="334"/>
    <n v="1"/>
    <n v="54"/>
    <n v="6.8"/>
    <n v="68"/>
    <n v="80"/>
    <n v="25"/>
    <n v="59"/>
    <x v="0"/>
    <x v="0"/>
  </r>
  <r>
    <x v="179"/>
    <n v="6"/>
    <n v="6"/>
    <n v="5"/>
    <n v="5"/>
    <n v="7"/>
    <n v="7"/>
    <n v="200"/>
    <n v="2"/>
    <n v="86"/>
    <n v="5.8"/>
    <n v="58"/>
    <n v="60"/>
    <n v="55"/>
    <n v="58"/>
    <x v="2"/>
    <x v="0"/>
  </r>
  <r>
    <x v="180"/>
    <n v="2"/>
    <n v="9"/>
    <n v="2"/>
    <n v="9"/>
    <n v="8"/>
    <n v="2"/>
    <n v="448"/>
    <n v="0"/>
    <n v="64"/>
    <n v="6"/>
    <n v="60"/>
    <n v="100"/>
    <n v="10"/>
    <n v="57"/>
    <x v="0"/>
    <x v="0"/>
  </r>
  <r>
    <x v="181"/>
    <n v="5"/>
    <n v="10"/>
    <n v="2"/>
    <n v="7"/>
    <n v="10"/>
    <n v="1"/>
    <n v="69"/>
    <n v="0"/>
    <n v="65"/>
    <n v="6.8"/>
    <n v="68"/>
    <n v="40"/>
    <n v="5"/>
    <n v="41"/>
    <x v="0"/>
    <x v="0"/>
  </r>
  <r>
    <x v="182"/>
    <n v="8"/>
    <n v="5"/>
    <n v="1"/>
    <n v="5"/>
    <n v="7"/>
    <n v="7"/>
    <n v="356"/>
    <n v="1"/>
    <n v="51"/>
    <n v="5.2"/>
    <n v="52"/>
    <n v="80"/>
    <n v="45"/>
    <n v="58"/>
    <x v="0"/>
    <x v="0"/>
  </r>
  <r>
    <x v="183"/>
    <n v="6"/>
    <n v="6"/>
    <n v="5"/>
    <n v="3"/>
    <n v="3"/>
    <n v="6"/>
    <n v="489"/>
    <n v="2"/>
    <n v="95"/>
    <n v="4.5999999999999996"/>
    <n v="46"/>
    <n v="100"/>
    <n v="50"/>
    <n v="63"/>
    <x v="2"/>
    <x v="0"/>
  </r>
  <r>
    <x v="184"/>
    <n v="4"/>
    <n v="6"/>
    <n v="2"/>
    <n v="4"/>
    <n v="10"/>
    <n v="4"/>
    <n v="359"/>
    <n v="3"/>
    <n v="44"/>
    <n v="5.2"/>
    <n v="52"/>
    <n v="80"/>
    <n v="50"/>
    <n v="60"/>
    <x v="1"/>
    <x v="0"/>
  </r>
  <r>
    <x v="185"/>
    <n v="1"/>
    <n v="10"/>
    <n v="9"/>
    <n v="5"/>
    <n v="7"/>
    <n v="2"/>
    <n v="237"/>
    <n v="5"/>
    <n v="48"/>
    <n v="6.4"/>
    <n v="64"/>
    <n v="60"/>
    <n v="60"/>
    <n v="62"/>
    <x v="1"/>
    <x v="0"/>
  </r>
  <r>
    <x v="186"/>
    <n v="3"/>
    <n v="10"/>
    <n v="8"/>
    <n v="6"/>
    <n v="8"/>
    <n v="6"/>
    <n v="198"/>
    <n v="5"/>
    <n v="58"/>
    <n v="7"/>
    <n v="70"/>
    <n v="60"/>
    <n v="80"/>
    <n v="70"/>
    <x v="0"/>
    <x v="0"/>
  </r>
  <r>
    <x v="187"/>
    <n v="3"/>
    <n v="9"/>
    <n v="5"/>
    <n v="9"/>
    <n v="9"/>
    <n v="1"/>
    <n v="279"/>
    <n v="4"/>
    <n v="74"/>
    <n v="7"/>
    <n v="70"/>
    <n v="80"/>
    <n v="45"/>
    <n v="66"/>
    <x v="0"/>
    <x v="0"/>
  </r>
  <r>
    <x v="188"/>
    <n v="9"/>
    <n v="2"/>
    <n v="10"/>
    <n v="1"/>
    <n v="8"/>
    <n v="2"/>
    <n v="240"/>
    <n v="2"/>
    <n v="58"/>
    <n v="6"/>
    <n v="60"/>
    <n v="60"/>
    <n v="30"/>
    <n v="51"/>
    <x v="0"/>
    <x v="0"/>
  </r>
  <r>
    <x v="189"/>
    <n v="6"/>
    <n v="2"/>
    <n v="2"/>
    <n v="10"/>
    <n v="3"/>
    <n v="2"/>
    <n v="412"/>
    <n v="2"/>
    <n v="64"/>
    <n v="4.5999999999999996"/>
    <n v="46"/>
    <n v="100"/>
    <n v="30"/>
    <n v="57"/>
    <x v="0"/>
    <x v="0"/>
  </r>
  <r>
    <x v="190"/>
    <n v="8"/>
    <n v="1"/>
    <n v="5"/>
    <n v="6"/>
    <n v="10"/>
    <n v="6"/>
    <n v="160"/>
    <n v="0"/>
    <n v="58"/>
    <n v="6"/>
    <n v="60"/>
    <n v="60"/>
    <n v="30"/>
    <n v="51"/>
    <x v="0"/>
    <x v="0"/>
  </r>
  <r>
    <x v="191"/>
    <n v="4"/>
    <n v="9"/>
    <n v="10"/>
    <n v="6"/>
    <n v="7"/>
    <n v="3"/>
    <n v="132"/>
    <n v="2"/>
    <n v="60"/>
    <n v="7.2"/>
    <n v="72"/>
    <n v="40"/>
    <n v="35"/>
    <n v="51"/>
    <x v="0"/>
    <x v="0"/>
  </r>
  <r>
    <x v="192"/>
    <n v="5"/>
    <n v="10"/>
    <n v="4"/>
    <n v="7"/>
    <n v="5"/>
    <n v="6"/>
    <n v="334"/>
    <n v="1"/>
    <n v="53"/>
    <n v="6.2"/>
    <n v="62"/>
    <n v="80"/>
    <n v="40"/>
    <n v="61"/>
    <x v="0"/>
    <x v="0"/>
  </r>
  <r>
    <x v="193"/>
    <n v="8"/>
    <n v="2"/>
    <n v="5"/>
    <n v="9"/>
    <n v="7"/>
    <n v="7"/>
    <n v="87"/>
    <n v="4"/>
    <n v="89"/>
    <n v="6.2"/>
    <n v="62"/>
    <n v="40"/>
    <n v="75"/>
    <n v="59"/>
    <x v="2"/>
    <x v="0"/>
  </r>
  <r>
    <x v="194"/>
    <n v="10"/>
    <n v="5"/>
    <n v="5"/>
    <n v="5"/>
    <n v="1"/>
    <n v="5"/>
    <n v="448"/>
    <n v="4"/>
    <n v="68"/>
    <n v="5.2"/>
    <n v="52"/>
    <n v="100"/>
    <n v="65"/>
    <n v="70"/>
    <x v="0"/>
    <x v="0"/>
  </r>
  <r>
    <x v="195"/>
    <n v="4"/>
    <n v="4"/>
    <n v="9"/>
    <n v="1"/>
    <n v="5"/>
    <n v="2"/>
    <n v="235"/>
    <n v="4"/>
    <n v="93"/>
    <n v="4.5999999999999996"/>
    <n v="46"/>
    <n v="60"/>
    <n v="50"/>
    <n v="51"/>
    <x v="2"/>
    <x v="0"/>
  </r>
  <r>
    <x v="196"/>
    <n v="4"/>
    <n v="1"/>
    <n v="6"/>
    <n v="2"/>
    <n v="4"/>
    <n v="1"/>
    <n v="292"/>
    <n v="4"/>
    <n v="95"/>
    <n v="3.4"/>
    <n v="34"/>
    <n v="80"/>
    <n v="45"/>
    <n v="51"/>
    <x v="2"/>
    <x v="0"/>
  </r>
  <r>
    <x v="197"/>
    <n v="1"/>
    <n v="2"/>
    <n v="1"/>
    <n v="2"/>
    <n v="3"/>
    <n v="3"/>
    <n v="358"/>
    <n v="2"/>
    <n v="44"/>
    <n v="1.8"/>
    <n v="18"/>
    <n v="80"/>
    <n v="35"/>
    <n v="42"/>
    <x v="1"/>
    <x v="0"/>
  </r>
  <r>
    <x v="198"/>
    <n v="9"/>
    <n v="5"/>
    <n v="2"/>
    <n v="2"/>
    <n v="10"/>
    <n v="6"/>
    <n v="102"/>
    <n v="0"/>
    <n v="71"/>
    <n v="5.6"/>
    <n v="56"/>
    <n v="40"/>
    <n v="30"/>
    <n v="43"/>
    <x v="0"/>
    <x v="0"/>
  </r>
  <r>
    <x v="199"/>
    <n v="3"/>
    <n v="3"/>
    <n v="3"/>
    <n v="7"/>
    <n v="5"/>
    <n v="6"/>
    <n v="168"/>
    <n v="2"/>
    <n v="70"/>
    <n v="4.2"/>
    <n v="42"/>
    <n v="60"/>
    <n v="50"/>
    <n v="50"/>
    <x v="0"/>
    <x v="0"/>
  </r>
  <r>
    <x v="200"/>
    <n v="7"/>
    <n v="6"/>
    <n v="9"/>
    <n v="3"/>
    <n v="5"/>
    <n v="4"/>
    <n v="289"/>
    <n v="2"/>
    <n v="65"/>
    <n v="6"/>
    <n v="60"/>
    <n v="80"/>
    <n v="40"/>
    <n v="60"/>
    <x v="0"/>
    <x v="0"/>
  </r>
  <r>
    <x v="201"/>
    <n v="5"/>
    <n v="7"/>
    <n v="7"/>
    <n v="9"/>
    <n v="4"/>
    <n v="8"/>
    <n v="493"/>
    <n v="5"/>
    <n v="69"/>
    <n v="6.4"/>
    <n v="64"/>
    <n v="100"/>
    <n v="90"/>
    <n v="83"/>
    <x v="0"/>
    <x v="1"/>
  </r>
  <r>
    <x v="202"/>
    <n v="2"/>
    <n v="5"/>
    <n v="9"/>
    <n v="2"/>
    <n v="9"/>
    <n v="8"/>
    <n v="178"/>
    <n v="1"/>
    <n v="84"/>
    <n v="5.4"/>
    <n v="54"/>
    <n v="60"/>
    <n v="50"/>
    <n v="55"/>
    <x v="2"/>
    <x v="0"/>
  </r>
  <r>
    <x v="203"/>
    <n v="7"/>
    <n v="8"/>
    <n v="4"/>
    <n v="7"/>
    <n v="9"/>
    <n v="6"/>
    <n v="159"/>
    <n v="2"/>
    <n v="44"/>
    <n v="7"/>
    <n v="70"/>
    <n v="60"/>
    <n v="50"/>
    <n v="61"/>
    <x v="1"/>
    <x v="0"/>
  </r>
  <r>
    <x v="204"/>
    <n v="3"/>
    <n v="10"/>
    <n v="1"/>
    <n v="9"/>
    <n v="7"/>
    <n v="0"/>
    <n v="454"/>
    <n v="3"/>
    <n v="56"/>
    <n v="6"/>
    <n v="60"/>
    <n v="100"/>
    <n v="30"/>
    <n v="63"/>
    <x v="0"/>
    <x v="0"/>
  </r>
  <r>
    <x v="205"/>
    <n v="10"/>
    <n v="7"/>
    <n v="6"/>
    <n v="1"/>
    <n v="6"/>
    <n v="7"/>
    <n v="275"/>
    <n v="4"/>
    <n v="76"/>
    <n v="6"/>
    <n v="60"/>
    <n v="80"/>
    <n v="75"/>
    <n v="71"/>
    <x v="2"/>
    <x v="1"/>
  </r>
  <r>
    <x v="206"/>
    <n v="2"/>
    <n v="8"/>
    <n v="7"/>
    <n v="8"/>
    <n v="1"/>
    <n v="0"/>
    <n v="384"/>
    <n v="4"/>
    <n v="61"/>
    <n v="5.2"/>
    <n v="52"/>
    <n v="80"/>
    <n v="40"/>
    <n v="57"/>
    <x v="0"/>
    <x v="0"/>
  </r>
  <r>
    <x v="207"/>
    <n v="8"/>
    <n v="1"/>
    <n v="1"/>
    <n v="4"/>
    <n v="1"/>
    <n v="2"/>
    <n v="162"/>
    <n v="4"/>
    <n v="80"/>
    <n v="3"/>
    <n v="30"/>
    <n v="60"/>
    <n v="50"/>
    <n v="45"/>
    <x v="2"/>
    <x v="0"/>
  </r>
  <r>
    <x v="208"/>
    <n v="4"/>
    <n v="3"/>
    <n v="4"/>
    <n v="8"/>
    <n v="3"/>
    <n v="0"/>
    <n v="313"/>
    <n v="2"/>
    <n v="59"/>
    <n v="4.4000000000000004"/>
    <n v="44"/>
    <n v="80"/>
    <n v="20"/>
    <n v="48"/>
    <x v="0"/>
    <x v="0"/>
  </r>
  <r>
    <x v="209"/>
    <n v="9"/>
    <n v="5"/>
    <n v="6"/>
    <n v="3"/>
    <n v="3"/>
    <n v="1"/>
    <n v="391"/>
    <n v="2"/>
    <n v="74"/>
    <n v="5.2"/>
    <n v="52"/>
    <n v="80"/>
    <n v="25"/>
    <n v="52"/>
    <x v="0"/>
    <x v="0"/>
  </r>
  <r>
    <x v="210"/>
    <n v="10"/>
    <n v="5"/>
    <n v="3"/>
    <n v="6"/>
    <n v="1"/>
    <n v="4"/>
    <n v="253"/>
    <n v="4"/>
    <n v="89"/>
    <n v="5"/>
    <n v="50"/>
    <n v="80"/>
    <n v="60"/>
    <n v="62"/>
    <x v="2"/>
    <x v="0"/>
  </r>
  <r>
    <x v="211"/>
    <n v="8"/>
    <n v="5"/>
    <n v="7"/>
    <n v="8"/>
    <n v="4"/>
    <n v="5"/>
    <n v="51"/>
    <n v="2"/>
    <n v="69"/>
    <n v="6.4"/>
    <n v="64"/>
    <n v="40"/>
    <n v="45"/>
    <n v="51"/>
    <x v="0"/>
    <x v="0"/>
  </r>
  <r>
    <x v="212"/>
    <n v="6"/>
    <n v="10"/>
    <n v="10"/>
    <n v="3"/>
    <n v="8"/>
    <n v="4"/>
    <n v="189"/>
    <n v="0"/>
    <n v="41"/>
    <n v="7.4"/>
    <n v="74"/>
    <n v="60"/>
    <n v="20"/>
    <n v="54"/>
    <x v="1"/>
    <x v="0"/>
  </r>
  <r>
    <x v="213"/>
    <n v="4"/>
    <n v="10"/>
    <n v="1"/>
    <n v="4"/>
    <n v="5"/>
    <n v="3"/>
    <n v="249"/>
    <n v="4"/>
    <n v="76"/>
    <n v="4.8"/>
    <n v="48"/>
    <n v="60"/>
    <n v="55"/>
    <n v="54"/>
    <x v="2"/>
    <x v="0"/>
  </r>
  <r>
    <x v="214"/>
    <n v="3"/>
    <n v="3"/>
    <n v="8"/>
    <n v="3"/>
    <n v="3"/>
    <n v="1"/>
    <n v="200"/>
    <n v="0"/>
    <n v="42"/>
    <n v="4"/>
    <n v="40"/>
    <n v="60"/>
    <n v="5"/>
    <n v="36"/>
    <x v="1"/>
    <x v="2"/>
  </r>
  <r>
    <x v="215"/>
    <n v="7"/>
    <n v="10"/>
    <n v="6"/>
    <n v="2"/>
    <n v="2"/>
    <n v="4"/>
    <n v="477"/>
    <n v="4"/>
    <n v="80"/>
    <n v="5.4"/>
    <n v="54"/>
    <n v="100"/>
    <n v="60"/>
    <n v="70"/>
    <x v="2"/>
    <x v="0"/>
  </r>
  <r>
    <x v="216"/>
    <n v="10"/>
    <n v="5"/>
    <n v="2"/>
    <n v="5"/>
    <n v="7"/>
    <n v="8"/>
    <n v="192"/>
    <n v="1"/>
    <n v="94"/>
    <n v="5.8"/>
    <n v="58"/>
    <n v="60"/>
    <n v="50"/>
    <n v="56"/>
    <x v="2"/>
    <x v="0"/>
  </r>
  <r>
    <x v="217"/>
    <n v="5"/>
    <n v="2"/>
    <n v="2"/>
    <n v="5"/>
    <n v="8"/>
    <n v="2"/>
    <n v="205"/>
    <n v="1"/>
    <n v="69"/>
    <n v="4.4000000000000004"/>
    <n v="44"/>
    <n v="60"/>
    <n v="20"/>
    <n v="42"/>
    <x v="0"/>
    <x v="0"/>
  </r>
  <r>
    <x v="218"/>
    <n v="1"/>
    <n v="9"/>
    <n v="6"/>
    <n v="9"/>
    <n v="3"/>
    <n v="0"/>
    <n v="205"/>
    <n v="2"/>
    <n v="56"/>
    <n v="5.6"/>
    <n v="56"/>
    <n v="60"/>
    <n v="20"/>
    <n v="46"/>
    <x v="0"/>
    <x v="0"/>
  </r>
  <r>
    <x v="219"/>
    <n v="2"/>
    <n v="7"/>
    <n v="1"/>
    <n v="1"/>
    <n v="2"/>
    <n v="6"/>
    <n v="53"/>
    <n v="2"/>
    <n v="60"/>
    <n v="2.6"/>
    <n v="26"/>
    <n v="40"/>
    <n v="50"/>
    <n v="37"/>
    <x v="0"/>
    <x v="2"/>
  </r>
  <r>
    <x v="220"/>
    <n v="3"/>
    <n v="8"/>
    <n v="1"/>
    <n v="8"/>
    <n v="10"/>
    <n v="7"/>
    <n v="301"/>
    <n v="4"/>
    <n v="45"/>
    <n v="6"/>
    <n v="60"/>
    <n v="80"/>
    <n v="75"/>
    <n v="71"/>
    <x v="1"/>
    <x v="1"/>
  </r>
  <r>
    <x v="221"/>
    <n v="10"/>
    <n v="1"/>
    <n v="10"/>
    <n v="8"/>
    <n v="1"/>
    <n v="8"/>
    <n v="175"/>
    <n v="0"/>
    <n v="84"/>
    <n v="6"/>
    <n v="60"/>
    <n v="60"/>
    <n v="40"/>
    <n v="54"/>
    <x v="2"/>
    <x v="0"/>
  </r>
  <r>
    <x v="222"/>
    <n v="5"/>
    <n v="6"/>
    <n v="3"/>
    <n v="2"/>
    <n v="9"/>
    <n v="8"/>
    <n v="91"/>
    <n v="3"/>
    <n v="67"/>
    <n v="5"/>
    <n v="50"/>
    <n v="40"/>
    <n v="70"/>
    <n v="53"/>
    <x v="0"/>
    <x v="0"/>
  </r>
  <r>
    <x v="223"/>
    <n v="2"/>
    <n v="7"/>
    <n v="1"/>
    <n v="5"/>
    <n v="9"/>
    <n v="7"/>
    <n v="129"/>
    <n v="5"/>
    <n v="45"/>
    <n v="4.8"/>
    <n v="48"/>
    <n v="40"/>
    <n v="85"/>
    <n v="57"/>
    <x v="1"/>
    <x v="0"/>
  </r>
  <r>
    <x v="224"/>
    <n v="10"/>
    <n v="5"/>
    <n v="10"/>
    <n v="10"/>
    <n v="1"/>
    <n v="5"/>
    <n v="138"/>
    <n v="4"/>
    <n v="70"/>
    <n v="7.2"/>
    <n v="72"/>
    <n v="40"/>
    <n v="65"/>
    <n v="60"/>
    <x v="0"/>
    <x v="0"/>
  </r>
  <r>
    <x v="225"/>
    <n v="3"/>
    <n v="8"/>
    <n v="9"/>
    <n v="2"/>
    <n v="4"/>
    <n v="3"/>
    <n v="412"/>
    <n v="5"/>
    <n v="57"/>
    <n v="5.2"/>
    <n v="52"/>
    <n v="100"/>
    <n v="65"/>
    <n v="70"/>
    <x v="0"/>
    <x v="0"/>
  </r>
  <r>
    <x v="226"/>
    <n v="5"/>
    <n v="10"/>
    <n v="3"/>
    <n v="5"/>
    <n v="6"/>
    <n v="8"/>
    <n v="104"/>
    <n v="4"/>
    <n v="44"/>
    <n v="5.8"/>
    <n v="58"/>
    <n v="40"/>
    <n v="80"/>
    <n v="59"/>
    <x v="1"/>
    <x v="0"/>
  </r>
  <r>
    <x v="227"/>
    <n v="2"/>
    <n v="5"/>
    <n v="7"/>
    <n v="1"/>
    <n v="2"/>
    <n v="1"/>
    <n v="134"/>
    <n v="2"/>
    <n v="77"/>
    <n v="3.4"/>
    <n v="34"/>
    <n v="40"/>
    <n v="25"/>
    <n v="33"/>
    <x v="2"/>
    <x v="2"/>
  </r>
  <r>
    <x v="228"/>
    <n v="1"/>
    <n v="9"/>
    <n v="8"/>
    <n v="5"/>
    <n v="5"/>
    <n v="4"/>
    <n v="251"/>
    <n v="2"/>
    <n v="65"/>
    <n v="5.6"/>
    <n v="56"/>
    <n v="80"/>
    <n v="40"/>
    <n v="58"/>
    <x v="0"/>
    <x v="0"/>
  </r>
  <r>
    <x v="229"/>
    <n v="8"/>
    <n v="10"/>
    <n v="10"/>
    <n v="9"/>
    <n v="5"/>
    <n v="6"/>
    <n v="233"/>
    <n v="0"/>
    <n v="93"/>
    <n v="8.4"/>
    <n v="84"/>
    <n v="60"/>
    <n v="30"/>
    <n v="61"/>
    <x v="2"/>
    <x v="0"/>
  </r>
  <r>
    <x v="230"/>
    <n v="6"/>
    <n v="3"/>
    <n v="7"/>
    <n v="1"/>
    <n v="3"/>
    <n v="7"/>
    <n v="345"/>
    <n v="0"/>
    <n v="66"/>
    <n v="4"/>
    <n v="40"/>
    <n v="80"/>
    <n v="35"/>
    <n v="51"/>
    <x v="0"/>
    <x v="0"/>
  </r>
  <r>
    <x v="231"/>
    <n v="8"/>
    <n v="8"/>
    <n v="6"/>
    <n v="4"/>
    <n v="7"/>
    <n v="6"/>
    <n v="441"/>
    <n v="2"/>
    <n v="89"/>
    <n v="6.6"/>
    <n v="66"/>
    <n v="100"/>
    <n v="50"/>
    <n v="71"/>
    <x v="2"/>
    <x v="1"/>
  </r>
  <r>
    <x v="232"/>
    <n v="5"/>
    <n v="1"/>
    <n v="1"/>
    <n v="7"/>
    <n v="7"/>
    <n v="1"/>
    <n v="163"/>
    <n v="1"/>
    <n v="47"/>
    <n v="4.2"/>
    <n v="42"/>
    <n v="60"/>
    <n v="15"/>
    <n v="39"/>
    <x v="1"/>
    <x v="2"/>
  </r>
  <r>
    <x v="233"/>
    <n v="6"/>
    <n v="6"/>
    <n v="1"/>
    <n v="7"/>
    <n v="9"/>
    <n v="3"/>
    <n v="162"/>
    <n v="0"/>
    <n v="93"/>
    <n v="5.8"/>
    <n v="58"/>
    <n v="60"/>
    <n v="15"/>
    <n v="46"/>
    <x v="2"/>
    <x v="0"/>
  </r>
  <r>
    <x v="234"/>
    <n v="3"/>
    <n v="10"/>
    <n v="6"/>
    <n v="5"/>
    <n v="9"/>
    <n v="7"/>
    <n v="481"/>
    <n v="1"/>
    <n v="45"/>
    <n v="6.6"/>
    <n v="66"/>
    <n v="100"/>
    <n v="45"/>
    <n v="70"/>
    <x v="1"/>
    <x v="0"/>
  </r>
  <r>
    <x v="235"/>
    <n v="10"/>
    <n v="5"/>
    <n v="8"/>
    <n v="7"/>
    <n v="6"/>
    <n v="5"/>
    <n v="315"/>
    <n v="5"/>
    <n v="56"/>
    <n v="7.2"/>
    <n v="72"/>
    <n v="80"/>
    <n v="75"/>
    <n v="75"/>
    <x v="0"/>
    <x v="1"/>
  </r>
  <r>
    <x v="236"/>
    <n v="8"/>
    <n v="1"/>
    <n v="4"/>
    <n v="4"/>
    <n v="7"/>
    <n v="1"/>
    <n v="81"/>
    <n v="3"/>
    <n v="80"/>
    <n v="4.8"/>
    <n v="48"/>
    <n v="40"/>
    <n v="35"/>
    <n v="42"/>
    <x v="2"/>
    <x v="0"/>
  </r>
  <r>
    <x v="237"/>
    <n v="10"/>
    <n v="6"/>
    <n v="7"/>
    <n v="1"/>
    <n v="10"/>
    <n v="6"/>
    <n v="140"/>
    <n v="2"/>
    <n v="76"/>
    <n v="6.8"/>
    <n v="68"/>
    <n v="40"/>
    <n v="50"/>
    <n v="54"/>
    <x v="2"/>
    <x v="0"/>
  </r>
  <r>
    <x v="238"/>
    <n v="4"/>
    <n v="9"/>
    <n v="5"/>
    <n v="2"/>
    <n v="9"/>
    <n v="6"/>
    <n v="212"/>
    <n v="5"/>
    <n v="43"/>
    <n v="5.8"/>
    <n v="58"/>
    <n v="60"/>
    <n v="80"/>
    <n v="65"/>
    <x v="1"/>
    <x v="0"/>
  </r>
  <r>
    <x v="239"/>
    <n v="9"/>
    <n v="5"/>
    <n v="8"/>
    <n v="10"/>
    <n v="9"/>
    <n v="2"/>
    <n v="475"/>
    <n v="2"/>
    <n v="83"/>
    <n v="8.1999999999999993"/>
    <n v="82"/>
    <n v="100"/>
    <n v="30"/>
    <n v="72"/>
    <x v="2"/>
    <x v="1"/>
  </r>
  <r>
    <x v="240"/>
    <n v="4"/>
    <n v="10"/>
    <n v="7"/>
    <n v="1"/>
    <n v="9"/>
    <n v="8"/>
    <n v="281"/>
    <n v="2"/>
    <n v="84"/>
    <n v="6.2"/>
    <n v="62"/>
    <n v="80"/>
    <n v="60"/>
    <n v="67"/>
    <x v="2"/>
    <x v="0"/>
  </r>
  <r>
    <x v="241"/>
    <n v="1"/>
    <n v="4"/>
    <n v="3"/>
    <n v="4"/>
    <n v="7"/>
    <n v="6"/>
    <n v="404"/>
    <n v="0"/>
    <n v="65"/>
    <n v="3.8"/>
    <n v="38"/>
    <n v="100"/>
    <n v="30"/>
    <n v="54"/>
    <x v="0"/>
    <x v="0"/>
  </r>
  <r>
    <x v="242"/>
    <n v="5"/>
    <n v="5"/>
    <n v="9"/>
    <n v="9"/>
    <n v="1"/>
    <n v="6"/>
    <n v="124"/>
    <n v="1"/>
    <n v="50"/>
    <n v="5.8"/>
    <n v="58"/>
    <n v="40"/>
    <n v="40"/>
    <n v="47"/>
    <x v="0"/>
    <x v="0"/>
  </r>
  <r>
    <x v="243"/>
    <n v="3"/>
    <n v="1"/>
    <n v="7"/>
    <n v="7"/>
    <n v="8"/>
    <n v="3"/>
    <n v="88"/>
    <n v="3"/>
    <n v="51"/>
    <n v="5.2"/>
    <n v="52"/>
    <n v="40"/>
    <n v="45"/>
    <n v="46"/>
    <x v="0"/>
    <x v="0"/>
  </r>
  <r>
    <x v="244"/>
    <n v="2"/>
    <n v="3"/>
    <n v="10"/>
    <n v="7"/>
    <n v="3"/>
    <n v="4"/>
    <n v="183"/>
    <n v="1"/>
    <n v="52"/>
    <n v="5"/>
    <n v="50"/>
    <n v="60"/>
    <n v="30"/>
    <n v="47"/>
    <x v="0"/>
    <x v="0"/>
  </r>
  <r>
    <x v="245"/>
    <n v="9"/>
    <n v="6"/>
    <n v="10"/>
    <n v="1"/>
    <n v="3"/>
    <n v="7"/>
    <n v="277"/>
    <n v="4"/>
    <n v="47"/>
    <n v="5.8"/>
    <n v="58"/>
    <n v="80"/>
    <n v="75"/>
    <n v="70"/>
    <x v="1"/>
    <x v="0"/>
  </r>
  <r>
    <x v="246"/>
    <n v="3"/>
    <n v="8"/>
    <n v="6"/>
    <n v="5"/>
    <n v="2"/>
    <n v="4"/>
    <n v="290"/>
    <n v="3"/>
    <n v="88"/>
    <n v="4.8"/>
    <n v="48"/>
    <n v="80"/>
    <n v="50"/>
    <n v="58"/>
    <x v="2"/>
    <x v="0"/>
  </r>
  <r>
    <x v="247"/>
    <n v="9"/>
    <n v="10"/>
    <n v="10"/>
    <n v="4"/>
    <n v="9"/>
    <n v="3"/>
    <n v="448"/>
    <n v="0"/>
    <n v="45"/>
    <n v="8.4"/>
    <n v="84"/>
    <n v="100"/>
    <n v="15"/>
    <n v="68"/>
    <x v="1"/>
    <x v="0"/>
  </r>
  <r>
    <x v="248"/>
    <n v="3"/>
    <n v="3"/>
    <n v="3"/>
    <n v="1"/>
    <n v="10"/>
    <n v="6"/>
    <n v="474"/>
    <n v="4"/>
    <n v="88"/>
    <n v="4"/>
    <n v="40"/>
    <n v="100"/>
    <n v="70"/>
    <n v="67"/>
    <x v="2"/>
    <x v="0"/>
  </r>
  <r>
    <x v="249"/>
    <n v="5"/>
    <n v="10"/>
    <n v="1"/>
    <n v="6"/>
    <n v="6"/>
    <n v="3"/>
    <n v="475"/>
    <n v="3"/>
    <n v="51"/>
    <n v="5.6"/>
    <n v="56"/>
    <n v="100"/>
    <n v="45"/>
    <n v="66"/>
    <x v="0"/>
    <x v="0"/>
  </r>
  <r>
    <x v="250"/>
    <n v="7"/>
    <n v="6"/>
    <n v="6"/>
    <n v="4"/>
    <n v="4"/>
    <n v="8"/>
    <n v="234"/>
    <n v="5"/>
    <n v="51"/>
    <n v="5.4"/>
    <n v="54"/>
    <n v="60"/>
    <n v="90"/>
    <n v="67"/>
    <x v="0"/>
    <x v="0"/>
  </r>
  <r>
    <x v="251"/>
    <n v="7"/>
    <n v="4"/>
    <n v="2"/>
    <n v="7"/>
    <n v="10"/>
    <n v="0"/>
    <n v="418"/>
    <n v="5"/>
    <n v="55"/>
    <n v="6"/>
    <n v="60"/>
    <n v="100"/>
    <n v="50"/>
    <n v="69"/>
    <x v="0"/>
    <x v="0"/>
  </r>
  <r>
    <x v="252"/>
    <n v="7"/>
    <n v="9"/>
    <n v="1"/>
    <n v="7"/>
    <n v="9"/>
    <n v="7"/>
    <n v="116"/>
    <n v="2"/>
    <n v="90"/>
    <n v="6.6"/>
    <n v="66"/>
    <n v="40"/>
    <n v="55"/>
    <n v="55"/>
    <x v="2"/>
    <x v="0"/>
  </r>
  <r>
    <x v="253"/>
    <n v="10"/>
    <n v="9"/>
    <n v="1"/>
    <n v="2"/>
    <n v="10"/>
    <n v="6"/>
    <n v="263"/>
    <n v="5"/>
    <n v="42"/>
    <n v="6.4"/>
    <n v="64"/>
    <n v="80"/>
    <n v="80"/>
    <n v="74"/>
    <x v="1"/>
    <x v="1"/>
  </r>
  <r>
    <x v="254"/>
    <n v="7"/>
    <n v="6"/>
    <n v="1"/>
    <n v="10"/>
    <n v="9"/>
    <n v="7"/>
    <n v="467"/>
    <n v="4"/>
    <n v="75"/>
    <n v="6.6"/>
    <n v="66"/>
    <n v="100"/>
    <n v="75"/>
    <n v="79"/>
    <x v="2"/>
    <x v="1"/>
  </r>
  <r>
    <x v="255"/>
    <n v="8"/>
    <n v="2"/>
    <n v="4"/>
    <n v="1"/>
    <n v="6"/>
    <n v="8"/>
    <n v="183"/>
    <n v="4"/>
    <n v="80"/>
    <n v="4.2"/>
    <n v="42"/>
    <n v="60"/>
    <n v="80"/>
    <n v="59"/>
    <x v="2"/>
    <x v="0"/>
  </r>
  <r>
    <x v="256"/>
    <n v="3"/>
    <n v="3"/>
    <n v="7"/>
    <n v="10"/>
    <n v="5"/>
    <n v="7"/>
    <n v="139"/>
    <n v="2"/>
    <n v="58"/>
    <n v="5.6"/>
    <n v="56"/>
    <n v="40"/>
    <n v="55"/>
    <n v="51"/>
    <x v="0"/>
    <x v="0"/>
  </r>
  <r>
    <x v="257"/>
    <n v="7"/>
    <n v="2"/>
    <n v="7"/>
    <n v="5"/>
    <n v="5"/>
    <n v="2"/>
    <n v="407"/>
    <n v="5"/>
    <n v="64"/>
    <n v="5.2"/>
    <n v="52"/>
    <n v="100"/>
    <n v="60"/>
    <n v="69"/>
    <x v="0"/>
    <x v="0"/>
  </r>
  <r>
    <x v="258"/>
    <n v="10"/>
    <n v="7"/>
    <n v="5"/>
    <n v="1"/>
    <n v="10"/>
    <n v="4"/>
    <n v="80"/>
    <n v="4"/>
    <n v="53"/>
    <n v="6.6"/>
    <n v="66"/>
    <n v="40"/>
    <n v="60"/>
    <n v="56"/>
    <x v="0"/>
    <x v="0"/>
  </r>
  <r>
    <x v="259"/>
    <n v="2"/>
    <n v="8"/>
    <n v="3"/>
    <n v="3"/>
    <n v="3"/>
    <n v="7"/>
    <n v="464"/>
    <n v="0"/>
    <n v="94"/>
    <n v="3.8"/>
    <n v="38"/>
    <n v="100"/>
    <n v="35"/>
    <n v="56"/>
    <x v="2"/>
    <x v="0"/>
  </r>
  <r>
    <x v="260"/>
    <n v="7"/>
    <n v="7"/>
    <n v="1"/>
    <n v="3"/>
    <n v="9"/>
    <n v="8"/>
    <n v="495"/>
    <n v="4"/>
    <n v="51"/>
    <n v="5.4"/>
    <n v="54"/>
    <n v="100"/>
    <n v="80"/>
    <n v="76"/>
    <x v="0"/>
    <x v="1"/>
  </r>
  <r>
    <x v="261"/>
    <n v="8"/>
    <n v="3"/>
    <n v="3"/>
    <n v="5"/>
    <n v="4"/>
    <n v="8"/>
    <n v="259"/>
    <n v="2"/>
    <n v="93"/>
    <n v="4.5999999999999996"/>
    <n v="46"/>
    <n v="80"/>
    <n v="60"/>
    <n v="60"/>
    <x v="2"/>
    <x v="0"/>
  </r>
  <r>
    <x v="262"/>
    <n v="7"/>
    <n v="10"/>
    <n v="1"/>
    <n v="1"/>
    <n v="1"/>
    <n v="2"/>
    <n v="453"/>
    <n v="2"/>
    <n v="86"/>
    <n v="4"/>
    <n v="40"/>
    <n v="100"/>
    <n v="30"/>
    <n v="55"/>
    <x v="2"/>
    <x v="0"/>
  </r>
  <r>
    <x v="263"/>
    <n v="1"/>
    <n v="5"/>
    <n v="7"/>
    <n v="7"/>
    <n v="5"/>
    <n v="4"/>
    <n v="72"/>
    <n v="5"/>
    <n v="76"/>
    <n v="5"/>
    <n v="50"/>
    <n v="40"/>
    <n v="70"/>
    <n v="53"/>
    <x v="2"/>
    <x v="0"/>
  </r>
  <r>
    <x v="264"/>
    <n v="1"/>
    <n v="4"/>
    <n v="2"/>
    <n v="4"/>
    <n v="10"/>
    <n v="2"/>
    <n v="190"/>
    <n v="2"/>
    <n v="43"/>
    <n v="4.2"/>
    <n v="42"/>
    <n v="60"/>
    <n v="30"/>
    <n v="44"/>
    <x v="1"/>
    <x v="0"/>
  </r>
  <r>
    <x v="265"/>
    <n v="1"/>
    <n v="7"/>
    <n v="6"/>
    <n v="3"/>
    <n v="8"/>
    <n v="4"/>
    <n v="335"/>
    <n v="3"/>
    <n v="88"/>
    <n v="5"/>
    <n v="50"/>
    <n v="80"/>
    <n v="50"/>
    <n v="59"/>
    <x v="2"/>
    <x v="0"/>
  </r>
  <r>
    <x v="266"/>
    <n v="6"/>
    <n v="1"/>
    <n v="9"/>
    <n v="1"/>
    <n v="4"/>
    <n v="0"/>
    <n v="426"/>
    <n v="2"/>
    <n v="45"/>
    <n v="4.2"/>
    <n v="42"/>
    <n v="100"/>
    <n v="20"/>
    <n v="53"/>
    <x v="1"/>
    <x v="0"/>
  </r>
  <r>
    <x v="267"/>
    <n v="6"/>
    <n v="3"/>
    <n v="1"/>
    <n v="3"/>
    <n v="1"/>
    <n v="0"/>
    <n v="71"/>
    <n v="4"/>
    <n v="65"/>
    <n v="2.8"/>
    <n v="28"/>
    <n v="40"/>
    <n v="40"/>
    <n v="35"/>
    <x v="0"/>
    <x v="2"/>
  </r>
  <r>
    <x v="268"/>
    <n v="1"/>
    <n v="3"/>
    <n v="4"/>
    <n v="2"/>
    <n v="4"/>
    <n v="7"/>
    <n v="464"/>
    <n v="3"/>
    <n v="68"/>
    <n v="2.8"/>
    <n v="28"/>
    <n v="100"/>
    <n v="65"/>
    <n v="61"/>
    <x v="0"/>
    <x v="0"/>
  </r>
  <r>
    <x v="269"/>
    <n v="1"/>
    <n v="10"/>
    <n v="6"/>
    <n v="6"/>
    <n v="6"/>
    <n v="5"/>
    <n v="333"/>
    <n v="1"/>
    <n v="74"/>
    <n v="5.8"/>
    <n v="58"/>
    <n v="80"/>
    <n v="35"/>
    <n v="58"/>
    <x v="0"/>
    <x v="0"/>
  </r>
  <r>
    <x v="270"/>
    <n v="4"/>
    <n v="1"/>
    <n v="8"/>
    <n v="5"/>
    <n v="9"/>
    <n v="7"/>
    <n v="105"/>
    <n v="3"/>
    <n v="44"/>
    <n v="5.4"/>
    <n v="54"/>
    <n v="40"/>
    <n v="65"/>
    <n v="53"/>
    <x v="1"/>
    <x v="0"/>
  </r>
  <r>
    <x v="271"/>
    <n v="3"/>
    <n v="4"/>
    <n v="2"/>
    <n v="10"/>
    <n v="3"/>
    <n v="1"/>
    <n v="305"/>
    <n v="1"/>
    <n v="84"/>
    <n v="4.4000000000000004"/>
    <n v="44"/>
    <n v="80"/>
    <n v="15"/>
    <n v="46"/>
    <x v="2"/>
    <x v="0"/>
  </r>
  <r>
    <x v="272"/>
    <n v="9"/>
    <n v="6"/>
    <n v="2"/>
    <n v="5"/>
    <n v="8"/>
    <n v="6"/>
    <n v="103"/>
    <n v="0"/>
    <n v="73"/>
    <n v="6"/>
    <n v="60"/>
    <n v="40"/>
    <n v="30"/>
    <n v="45"/>
    <x v="0"/>
    <x v="0"/>
  </r>
  <r>
    <x v="273"/>
    <n v="1"/>
    <n v="2"/>
    <n v="10"/>
    <n v="8"/>
    <n v="7"/>
    <n v="1"/>
    <n v="499"/>
    <n v="5"/>
    <n v="56"/>
    <n v="5.6"/>
    <n v="56"/>
    <n v="100"/>
    <n v="55"/>
    <n v="69"/>
    <x v="0"/>
    <x v="0"/>
  </r>
  <r>
    <x v="274"/>
    <n v="3"/>
    <n v="2"/>
    <n v="9"/>
    <n v="5"/>
    <n v="9"/>
    <n v="8"/>
    <n v="447"/>
    <n v="4"/>
    <n v="61"/>
    <n v="5.6"/>
    <n v="56"/>
    <n v="100"/>
    <n v="80"/>
    <n v="76"/>
    <x v="0"/>
    <x v="1"/>
  </r>
  <r>
    <x v="275"/>
    <n v="8"/>
    <n v="6"/>
    <n v="7"/>
    <n v="9"/>
    <n v="5"/>
    <n v="4"/>
    <n v="262"/>
    <n v="5"/>
    <n v="67"/>
    <n v="7"/>
    <n v="70"/>
    <n v="80"/>
    <n v="70"/>
    <n v="73"/>
    <x v="0"/>
    <x v="1"/>
  </r>
  <r>
    <x v="276"/>
    <n v="7"/>
    <n v="8"/>
    <n v="8"/>
    <n v="3"/>
    <n v="4"/>
    <n v="8"/>
    <n v="353"/>
    <n v="0"/>
    <n v="88"/>
    <n v="6"/>
    <n v="60"/>
    <n v="80"/>
    <n v="40"/>
    <n v="60"/>
    <x v="2"/>
    <x v="0"/>
  </r>
  <r>
    <x v="277"/>
    <n v="5"/>
    <n v="3"/>
    <n v="8"/>
    <n v="2"/>
    <n v="1"/>
    <n v="5"/>
    <n v="69"/>
    <n v="3"/>
    <n v="68"/>
    <n v="3.8"/>
    <n v="38"/>
    <n v="40"/>
    <n v="55"/>
    <n v="44"/>
    <x v="0"/>
    <x v="0"/>
  </r>
  <r>
    <x v="278"/>
    <n v="4"/>
    <n v="8"/>
    <n v="4"/>
    <n v="1"/>
    <n v="4"/>
    <n v="7"/>
    <n v="341"/>
    <n v="4"/>
    <n v="60"/>
    <n v="4.2"/>
    <n v="42"/>
    <n v="80"/>
    <n v="75"/>
    <n v="63"/>
    <x v="0"/>
    <x v="0"/>
  </r>
  <r>
    <x v="279"/>
    <n v="6"/>
    <n v="7"/>
    <n v="5"/>
    <n v="9"/>
    <n v="3"/>
    <n v="5"/>
    <n v="291"/>
    <n v="3"/>
    <n v="61"/>
    <n v="6"/>
    <n v="60"/>
    <n v="80"/>
    <n v="55"/>
    <n v="65"/>
    <x v="0"/>
    <x v="0"/>
  </r>
  <r>
    <x v="280"/>
    <n v="3"/>
    <n v="8"/>
    <n v="3"/>
    <n v="9"/>
    <n v="2"/>
    <n v="5"/>
    <n v="249"/>
    <n v="4"/>
    <n v="66"/>
    <n v="5"/>
    <n v="50"/>
    <n v="60"/>
    <n v="65"/>
    <n v="58"/>
    <x v="0"/>
    <x v="0"/>
  </r>
  <r>
    <x v="281"/>
    <n v="4"/>
    <n v="7"/>
    <n v="7"/>
    <n v="6"/>
    <n v="3"/>
    <n v="1"/>
    <n v="379"/>
    <n v="5"/>
    <n v="70"/>
    <n v="5.4"/>
    <n v="54"/>
    <n v="80"/>
    <n v="55"/>
    <n v="62"/>
    <x v="0"/>
    <x v="0"/>
  </r>
  <r>
    <x v="282"/>
    <n v="9"/>
    <n v="8"/>
    <n v="6"/>
    <n v="10"/>
    <n v="10"/>
    <n v="0"/>
    <n v="383"/>
    <n v="2"/>
    <n v="66"/>
    <n v="8.6"/>
    <n v="86"/>
    <n v="80"/>
    <n v="20"/>
    <n v="64"/>
    <x v="0"/>
    <x v="0"/>
  </r>
  <r>
    <x v="283"/>
    <n v="8"/>
    <n v="2"/>
    <n v="1"/>
    <n v="9"/>
    <n v="10"/>
    <n v="7"/>
    <n v="459"/>
    <n v="5"/>
    <n v="63"/>
    <n v="6"/>
    <n v="60"/>
    <n v="100"/>
    <n v="85"/>
    <n v="80"/>
    <x v="0"/>
    <x v="1"/>
  </r>
  <r>
    <x v="284"/>
    <n v="9"/>
    <n v="9"/>
    <n v="8"/>
    <n v="6"/>
    <n v="5"/>
    <n v="1"/>
    <n v="142"/>
    <n v="0"/>
    <n v="95"/>
    <n v="7.4"/>
    <n v="74"/>
    <n v="40"/>
    <n v="5"/>
    <n v="43"/>
    <x v="2"/>
    <x v="0"/>
  </r>
  <r>
    <x v="285"/>
    <n v="4"/>
    <n v="7"/>
    <n v="9"/>
    <n v="3"/>
    <n v="2"/>
    <n v="6"/>
    <n v="487"/>
    <n v="4"/>
    <n v="40"/>
    <n v="5"/>
    <n v="50"/>
    <n v="100"/>
    <n v="70"/>
    <n v="71"/>
    <x v="1"/>
    <x v="1"/>
  </r>
  <r>
    <x v="286"/>
    <n v="8"/>
    <n v="8"/>
    <n v="4"/>
    <n v="8"/>
    <n v="1"/>
    <n v="4"/>
    <n v="318"/>
    <n v="1"/>
    <n v="69"/>
    <n v="5.8"/>
    <n v="58"/>
    <n v="80"/>
    <n v="30"/>
    <n v="56"/>
    <x v="0"/>
    <x v="0"/>
  </r>
  <r>
    <x v="287"/>
    <n v="8"/>
    <n v="1"/>
    <n v="1"/>
    <n v="9"/>
    <n v="2"/>
    <n v="3"/>
    <n v="368"/>
    <n v="0"/>
    <n v="44"/>
    <n v="4.2"/>
    <n v="42"/>
    <n v="80"/>
    <n v="15"/>
    <n v="45"/>
    <x v="1"/>
    <x v="0"/>
  </r>
  <r>
    <x v="288"/>
    <n v="1"/>
    <n v="9"/>
    <n v="8"/>
    <n v="3"/>
    <n v="1"/>
    <n v="8"/>
    <n v="153"/>
    <n v="5"/>
    <n v="72"/>
    <n v="4.4000000000000004"/>
    <n v="44"/>
    <n v="60"/>
    <n v="90"/>
    <n v="63"/>
    <x v="0"/>
    <x v="0"/>
  </r>
  <r>
    <x v="289"/>
    <n v="10"/>
    <n v="3"/>
    <n v="2"/>
    <n v="9"/>
    <n v="2"/>
    <n v="0"/>
    <n v="238"/>
    <n v="2"/>
    <n v="95"/>
    <n v="5.2"/>
    <n v="52"/>
    <n v="60"/>
    <n v="20"/>
    <n v="45"/>
    <x v="2"/>
    <x v="0"/>
  </r>
  <r>
    <x v="290"/>
    <n v="4"/>
    <n v="9"/>
    <n v="5"/>
    <n v="5"/>
    <n v="2"/>
    <n v="5"/>
    <n v="354"/>
    <n v="5"/>
    <n v="78"/>
    <n v="5"/>
    <n v="50"/>
    <n v="80"/>
    <n v="75"/>
    <n v="67"/>
    <x v="2"/>
    <x v="0"/>
  </r>
  <r>
    <x v="291"/>
    <n v="5"/>
    <n v="8"/>
    <n v="4"/>
    <n v="8"/>
    <n v="7"/>
    <n v="2"/>
    <n v="147"/>
    <n v="0"/>
    <n v="51"/>
    <n v="6.4"/>
    <n v="64"/>
    <n v="40"/>
    <n v="10"/>
    <n v="41"/>
    <x v="0"/>
    <x v="0"/>
  </r>
  <r>
    <x v="292"/>
    <n v="9"/>
    <n v="5"/>
    <n v="4"/>
    <n v="1"/>
    <n v="8"/>
    <n v="3"/>
    <n v="192"/>
    <n v="1"/>
    <n v="44"/>
    <n v="5.4"/>
    <n v="54"/>
    <n v="60"/>
    <n v="25"/>
    <n v="47"/>
    <x v="1"/>
    <x v="0"/>
  </r>
  <r>
    <x v="293"/>
    <n v="1"/>
    <n v="6"/>
    <n v="6"/>
    <n v="3"/>
    <n v="2"/>
    <n v="0"/>
    <n v="417"/>
    <n v="2"/>
    <n v="45"/>
    <n v="3.6"/>
    <n v="36"/>
    <n v="100"/>
    <n v="20"/>
    <n v="50"/>
    <x v="1"/>
    <x v="0"/>
  </r>
  <r>
    <x v="294"/>
    <n v="8"/>
    <n v="6"/>
    <n v="4"/>
    <n v="1"/>
    <n v="5"/>
    <n v="1"/>
    <n v="454"/>
    <n v="2"/>
    <n v="68"/>
    <n v="4.8"/>
    <n v="48"/>
    <n v="100"/>
    <n v="25"/>
    <n v="57"/>
    <x v="0"/>
    <x v="0"/>
  </r>
  <r>
    <x v="295"/>
    <n v="5"/>
    <n v="8"/>
    <n v="3"/>
    <n v="9"/>
    <n v="4"/>
    <n v="1"/>
    <n v="311"/>
    <n v="2"/>
    <n v="74"/>
    <n v="5.8"/>
    <n v="58"/>
    <n v="80"/>
    <n v="25"/>
    <n v="55"/>
    <x v="0"/>
    <x v="0"/>
  </r>
  <r>
    <x v="296"/>
    <n v="1"/>
    <n v="3"/>
    <n v="4"/>
    <n v="6"/>
    <n v="4"/>
    <n v="3"/>
    <n v="206"/>
    <n v="1"/>
    <n v="45"/>
    <n v="3.6"/>
    <n v="36"/>
    <n v="60"/>
    <n v="25"/>
    <n v="40"/>
    <x v="1"/>
    <x v="0"/>
  </r>
  <r>
    <x v="297"/>
    <n v="8"/>
    <n v="7"/>
    <n v="4"/>
    <n v="8"/>
    <n v="9"/>
    <n v="3"/>
    <n v="294"/>
    <n v="5"/>
    <n v="47"/>
    <n v="7.2"/>
    <n v="72"/>
    <n v="80"/>
    <n v="65"/>
    <n v="72"/>
    <x v="1"/>
    <x v="1"/>
  </r>
  <r>
    <x v="298"/>
    <n v="1"/>
    <n v="9"/>
    <n v="3"/>
    <n v="2"/>
    <n v="6"/>
    <n v="0"/>
    <n v="372"/>
    <n v="5"/>
    <n v="72"/>
    <n v="4.2"/>
    <n v="42"/>
    <n v="80"/>
    <n v="50"/>
    <n v="56"/>
    <x v="0"/>
    <x v="0"/>
  </r>
  <r>
    <x v="299"/>
    <n v="1"/>
    <n v="1"/>
    <n v="3"/>
    <n v="9"/>
    <n v="7"/>
    <n v="4"/>
    <n v="64"/>
    <n v="0"/>
    <n v="62"/>
    <n v="4.2"/>
    <n v="42"/>
    <n v="40"/>
    <n v="20"/>
    <n v="35"/>
    <x v="0"/>
    <x v="2"/>
  </r>
  <r>
    <x v="300"/>
    <n v="9"/>
    <n v="9"/>
    <n v="9"/>
    <n v="9"/>
    <n v="2"/>
    <n v="4"/>
    <n v="135"/>
    <n v="3"/>
    <n v="72"/>
    <n v="7.6"/>
    <n v="76"/>
    <n v="40"/>
    <n v="50"/>
    <n v="57"/>
    <x v="0"/>
    <x v="0"/>
  </r>
  <r>
    <x v="301"/>
    <n v="4"/>
    <n v="4"/>
    <n v="1"/>
    <n v="5"/>
    <n v="5"/>
    <n v="7"/>
    <n v="130"/>
    <n v="0"/>
    <n v="74"/>
    <n v="3.8"/>
    <n v="38"/>
    <n v="40"/>
    <n v="35"/>
    <n v="38"/>
    <x v="0"/>
    <x v="2"/>
  </r>
  <r>
    <x v="302"/>
    <n v="3"/>
    <n v="3"/>
    <n v="4"/>
    <n v="1"/>
    <n v="5"/>
    <n v="0"/>
    <n v="115"/>
    <n v="2"/>
    <n v="76"/>
    <n v="3.2"/>
    <n v="32"/>
    <n v="40"/>
    <n v="20"/>
    <n v="31"/>
    <x v="2"/>
    <x v="2"/>
  </r>
  <r>
    <x v="303"/>
    <n v="9"/>
    <n v="4"/>
    <n v="6"/>
    <n v="7"/>
    <n v="3"/>
    <n v="6"/>
    <n v="499"/>
    <n v="5"/>
    <n v="44"/>
    <n v="5.8"/>
    <n v="58"/>
    <n v="100"/>
    <n v="80"/>
    <n v="77"/>
    <x v="1"/>
    <x v="1"/>
  </r>
  <r>
    <x v="304"/>
    <n v="6"/>
    <n v="9"/>
    <n v="9"/>
    <n v="1"/>
    <n v="7"/>
    <n v="8"/>
    <n v="260"/>
    <n v="3"/>
    <n v="55"/>
    <n v="6.4"/>
    <n v="64"/>
    <n v="80"/>
    <n v="70"/>
    <n v="71"/>
    <x v="0"/>
    <x v="1"/>
  </r>
  <r>
    <x v="305"/>
    <n v="6"/>
    <n v="7"/>
    <n v="4"/>
    <n v="3"/>
    <n v="6"/>
    <n v="1"/>
    <n v="131"/>
    <n v="5"/>
    <n v="85"/>
    <n v="5.2"/>
    <n v="52"/>
    <n v="40"/>
    <n v="55"/>
    <n v="49"/>
    <x v="2"/>
    <x v="0"/>
  </r>
  <r>
    <x v="306"/>
    <n v="7"/>
    <n v="7"/>
    <n v="8"/>
    <n v="9"/>
    <n v="3"/>
    <n v="3"/>
    <n v="192"/>
    <n v="4"/>
    <n v="47"/>
    <n v="6.8"/>
    <n v="68"/>
    <n v="60"/>
    <n v="55"/>
    <n v="62"/>
    <x v="1"/>
    <x v="0"/>
  </r>
  <r>
    <x v="307"/>
    <n v="1"/>
    <n v="2"/>
    <n v="4"/>
    <n v="7"/>
    <n v="5"/>
    <n v="2"/>
    <n v="365"/>
    <n v="4"/>
    <n v="49"/>
    <n v="3.8"/>
    <n v="38"/>
    <n v="80"/>
    <n v="50"/>
    <n v="54"/>
    <x v="1"/>
    <x v="0"/>
  </r>
  <r>
    <x v="308"/>
    <n v="2"/>
    <n v="7"/>
    <n v="9"/>
    <n v="10"/>
    <n v="6"/>
    <n v="3"/>
    <n v="409"/>
    <n v="3"/>
    <n v="48"/>
    <n v="6.8"/>
    <n v="68"/>
    <n v="100"/>
    <n v="45"/>
    <n v="71"/>
    <x v="1"/>
    <x v="1"/>
  </r>
  <r>
    <x v="309"/>
    <n v="10"/>
    <n v="8"/>
    <n v="6"/>
    <n v="10"/>
    <n v="3"/>
    <n v="7"/>
    <n v="452"/>
    <n v="3"/>
    <n v="84"/>
    <n v="7.4"/>
    <n v="74"/>
    <n v="100"/>
    <n v="65"/>
    <n v="79"/>
    <x v="2"/>
    <x v="1"/>
  </r>
  <r>
    <x v="310"/>
    <n v="7"/>
    <n v="7"/>
    <n v="8"/>
    <n v="9"/>
    <n v="8"/>
    <n v="4"/>
    <n v="466"/>
    <n v="3"/>
    <n v="82"/>
    <n v="7.8"/>
    <n v="78"/>
    <n v="100"/>
    <n v="50"/>
    <n v="76"/>
    <x v="2"/>
    <x v="1"/>
  </r>
  <r>
    <x v="311"/>
    <n v="1"/>
    <n v="1"/>
    <n v="7"/>
    <n v="8"/>
    <n v="2"/>
    <n v="2"/>
    <n v="428"/>
    <n v="5"/>
    <n v="68"/>
    <n v="3.8"/>
    <n v="38"/>
    <n v="100"/>
    <n v="60"/>
    <n v="63"/>
    <x v="0"/>
    <x v="0"/>
  </r>
  <r>
    <x v="312"/>
    <n v="10"/>
    <n v="9"/>
    <n v="10"/>
    <n v="1"/>
    <n v="5"/>
    <n v="0"/>
    <n v="406"/>
    <n v="3"/>
    <n v="52"/>
    <n v="7"/>
    <n v="70"/>
    <n v="100"/>
    <n v="30"/>
    <n v="67"/>
    <x v="0"/>
    <x v="0"/>
  </r>
  <r>
    <x v="313"/>
    <n v="7"/>
    <n v="10"/>
    <n v="2"/>
    <n v="7"/>
    <n v="3"/>
    <n v="4"/>
    <n v="160"/>
    <n v="2"/>
    <n v="84"/>
    <n v="5.8"/>
    <n v="58"/>
    <n v="60"/>
    <n v="40"/>
    <n v="53"/>
    <x v="2"/>
    <x v="0"/>
  </r>
  <r>
    <x v="314"/>
    <n v="10"/>
    <n v="8"/>
    <n v="10"/>
    <n v="10"/>
    <n v="3"/>
    <n v="2"/>
    <n v="383"/>
    <n v="2"/>
    <n v="95"/>
    <n v="8.1999999999999993"/>
    <n v="82"/>
    <n v="80"/>
    <n v="30"/>
    <n v="66"/>
    <x v="2"/>
    <x v="0"/>
  </r>
  <r>
    <x v="315"/>
    <n v="2"/>
    <n v="10"/>
    <n v="2"/>
    <n v="5"/>
    <n v="4"/>
    <n v="1"/>
    <n v="407"/>
    <n v="2"/>
    <n v="51"/>
    <n v="4.5999999999999996"/>
    <n v="46"/>
    <n v="100"/>
    <n v="25"/>
    <n v="56"/>
    <x v="0"/>
    <x v="0"/>
  </r>
  <r>
    <x v="316"/>
    <n v="1"/>
    <n v="6"/>
    <n v="5"/>
    <n v="5"/>
    <n v="10"/>
    <n v="5"/>
    <n v="218"/>
    <n v="5"/>
    <n v="78"/>
    <n v="5.4"/>
    <n v="54"/>
    <n v="60"/>
    <n v="75"/>
    <n v="62"/>
    <x v="2"/>
    <x v="0"/>
  </r>
  <r>
    <x v="317"/>
    <n v="5"/>
    <n v="9"/>
    <n v="3"/>
    <n v="6"/>
    <n v="8"/>
    <n v="8"/>
    <n v="164"/>
    <n v="0"/>
    <n v="58"/>
    <n v="6.2"/>
    <n v="62"/>
    <n v="60"/>
    <n v="40"/>
    <n v="55"/>
    <x v="0"/>
    <x v="0"/>
  </r>
  <r>
    <x v="318"/>
    <n v="5"/>
    <n v="6"/>
    <n v="3"/>
    <n v="10"/>
    <n v="10"/>
    <n v="1"/>
    <n v="179"/>
    <n v="0"/>
    <n v="86"/>
    <n v="6.8"/>
    <n v="68"/>
    <n v="60"/>
    <n v="5"/>
    <n v="47"/>
    <x v="2"/>
    <x v="0"/>
  </r>
  <r>
    <x v="319"/>
    <n v="4"/>
    <n v="5"/>
    <n v="2"/>
    <n v="3"/>
    <n v="9"/>
    <n v="1"/>
    <n v="356"/>
    <n v="4"/>
    <n v="91"/>
    <n v="4.5999999999999996"/>
    <n v="46"/>
    <n v="80"/>
    <n v="45"/>
    <n v="56"/>
    <x v="2"/>
    <x v="0"/>
  </r>
  <r>
    <x v="320"/>
    <n v="7"/>
    <n v="2"/>
    <n v="6"/>
    <n v="6"/>
    <n v="8"/>
    <n v="3"/>
    <n v="244"/>
    <n v="0"/>
    <n v="79"/>
    <n v="5.8"/>
    <n v="58"/>
    <n v="60"/>
    <n v="15"/>
    <n v="46"/>
    <x v="2"/>
    <x v="0"/>
  </r>
  <r>
    <x v="321"/>
    <n v="9"/>
    <n v="6"/>
    <n v="7"/>
    <n v="6"/>
    <n v="9"/>
    <n v="1"/>
    <n v="234"/>
    <n v="3"/>
    <n v="54"/>
    <n v="7.4"/>
    <n v="74"/>
    <n v="60"/>
    <n v="35"/>
    <n v="58"/>
    <x v="0"/>
    <x v="0"/>
  </r>
  <r>
    <x v="322"/>
    <n v="8"/>
    <n v="2"/>
    <n v="8"/>
    <n v="10"/>
    <n v="7"/>
    <n v="2"/>
    <n v="236"/>
    <n v="0"/>
    <n v="68"/>
    <n v="7"/>
    <n v="70"/>
    <n v="60"/>
    <n v="10"/>
    <n v="49"/>
    <x v="0"/>
    <x v="0"/>
  </r>
  <r>
    <x v="323"/>
    <n v="7"/>
    <n v="3"/>
    <n v="2"/>
    <n v="4"/>
    <n v="6"/>
    <n v="5"/>
    <n v="310"/>
    <n v="1"/>
    <n v="50"/>
    <n v="4.4000000000000004"/>
    <n v="44"/>
    <n v="80"/>
    <n v="35"/>
    <n v="52"/>
    <x v="0"/>
    <x v="0"/>
  </r>
  <r>
    <x v="324"/>
    <n v="4"/>
    <n v="8"/>
    <n v="9"/>
    <n v="10"/>
    <n v="3"/>
    <n v="0"/>
    <n v="464"/>
    <n v="1"/>
    <n v="53"/>
    <n v="6.8"/>
    <n v="68"/>
    <n v="100"/>
    <n v="10"/>
    <n v="60"/>
    <x v="0"/>
    <x v="0"/>
  </r>
  <r>
    <x v="325"/>
    <n v="8"/>
    <n v="6"/>
    <n v="9"/>
    <n v="10"/>
    <n v="3"/>
    <n v="7"/>
    <n v="412"/>
    <n v="3"/>
    <n v="76"/>
    <n v="7.2"/>
    <n v="72"/>
    <n v="100"/>
    <n v="65"/>
    <n v="78"/>
    <x v="2"/>
    <x v="1"/>
  </r>
  <r>
    <x v="326"/>
    <n v="7"/>
    <n v="10"/>
    <n v="1"/>
    <n v="2"/>
    <n v="9"/>
    <n v="2"/>
    <n v="368"/>
    <n v="3"/>
    <n v="94"/>
    <n v="5.8"/>
    <n v="58"/>
    <n v="80"/>
    <n v="40"/>
    <n v="59"/>
    <x v="2"/>
    <x v="0"/>
  </r>
  <r>
    <x v="327"/>
    <n v="9"/>
    <n v="2"/>
    <n v="5"/>
    <n v="7"/>
    <n v="8"/>
    <n v="7"/>
    <n v="152"/>
    <n v="1"/>
    <n v="64"/>
    <n v="6.2"/>
    <n v="62"/>
    <n v="60"/>
    <n v="45"/>
    <n v="56"/>
    <x v="0"/>
    <x v="0"/>
  </r>
  <r>
    <x v="328"/>
    <n v="1"/>
    <n v="2"/>
    <n v="10"/>
    <n v="6"/>
    <n v="3"/>
    <n v="6"/>
    <n v="477"/>
    <n v="3"/>
    <n v="46"/>
    <n v="4.4000000000000004"/>
    <n v="44"/>
    <n v="100"/>
    <n v="60"/>
    <n v="66"/>
    <x v="1"/>
    <x v="0"/>
  </r>
  <r>
    <x v="329"/>
    <n v="1"/>
    <n v="4"/>
    <n v="5"/>
    <n v="7"/>
    <n v="4"/>
    <n v="6"/>
    <n v="63"/>
    <n v="4"/>
    <n v="44"/>
    <n v="4.2"/>
    <n v="42"/>
    <n v="40"/>
    <n v="70"/>
    <n v="50"/>
    <x v="1"/>
    <x v="0"/>
  </r>
  <r>
    <x v="330"/>
    <n v="2"/>
    <n v="6"/>
    <n v="10"/>
    <n v="10"/>
    <n v="9"/>
    <n v="6"/>
    <n v="463"/>
    <n v="2"/>
    <n v="85"/>
    <n v="7.4"/>
    <n v="74"/>
    <n v="100"/>
    <n v="50"/>
    <n v="75"/>
    <x v="2"/>
    <x v="1"/>
  </r>
  <r>
    <x v="331"/>
    <n v="10"/>
    <n v="8"/>
    <n v="5"/>
    <n v="4"/>
    <n v="1"/>
    <n v="8"/>
    <n v="430"/>
    <n v="0"/>
    <n v="57"/>
    <n v="5.6"/>
    <n v="56"/>
    <n v="100"/>
    <n v="40"/>
    <n v="64"/>
    <x v="0"/>
    <x v="0"/>
  </r>
  <r>
    <x v="332"/>
    <n v="3"/>
    <n v="6"/>
    <n v="10"/>
    <n v="9"/>
    <n v="4"/>
    <n v="7"/>
    <n v="68"/>
    <n v="5"/>
    <n v="55"/>
    <n v="6.4"/>
    <n v="64"/>
    <n v="40"/>
    <n v="85"/>
    <n v="63"/>
    <x v="0"/>
    <x v="0"/>
  </r>
  <r>
    <x v="333"/>
    <n v="10"/>
    <n v="5"/>
    <n v="1"/>
    <n v="4"/>
    <n v="7"/>
    <n v="6"/>
    <n v="426"/>
    <n v="4"/>
    <n v="42"/>
    <n v="5.4"/>
    <n v="54"/>
    <n v="100"/>
    <n v="70"/>
    <n v="73"/>
    <x v="1"/>
    <x v="1"/>
  </r>
  <r>
    <x v="334"/>
    <n v="4"/>
    <n v="6"/>
    <n v="7"/>
    <n v="6"/>
    <n v="9"/>
    <n v="0"/>
    <n v="445"/>
    <n v="1"/>
    <n v="73"/>
    <n v="6.4"/>
    <n v="64"/>
    <n v="100"/>
    <n v="10"/>
    <n v="59"/>
    <x v="0"/>
    <x v="0"/>
  </r>
  <r>
    <x v="335"/>
    <n v="4"/>
    <n v="1"/>
    <n v="6"/>
    <n v="1"/>
    <n v="10"/>
    <n v="2"/>
    <n v="134"/>
    <n v="3"/>
    <n v="85"/>
    <n v="4.4000000000000004"/>
    <n v="44"/>
    <n v="40"/>
    <n v="40"/>
    <n v="42"/>
    <x v="2"/>
    <x v="0"/>
  </r>
  <r>
    <x v="336"/>
    <n v="5"/>
    <n v="2"/>
    <n v="9"/>
    <n v="2"/>
    <n v="4"/>
    <n v="6"/>
    <n v="422"/>
    <n v="3"/>
    <n v="70"/>
    <n v="4.4000000000000004"/>
    <n v="44"/>
    <n v="100"/>
    <n v="60"/>
    <n v="66"/>
    <x v="0"/>
    <x v="0"/>
  </r>
  <r>
    <x v="337"/>
    <n v="7"/>
    <n v="5"/>
    <n v="4"/>
    <n v="1"/>
    <n v="5"/>
    <n v="5"/>
    <n v="237"/>
    <n v="1"/>
    <n v="43"/>
    <n v="4.4000000000000004"/>
    <n v="44"/>
    <n v="60"/>
    <n v="35"/>
    <n v="46"/>
    <x v="1"/>
    <x v="0"/>
  </r>
  <r>
    <x v="338"/>
    <n v="9"/>
    <n v="3"/>
    <n v="7"/>
    <n v="4"/>
    <n v="7"/>
    <n v="8"/>
    <n v="447"/>
    <n v="4"/>
    <n v="77"/>
    <n v="6"/>
    <n v="60"/>
    <n v="100"/>
    <n v="80"/>
    <n v="78"/>
    <x v="2"/>
    <x v="1"/>
  </r>
  <r>
    <x v="339"/>
    <n v="9"/>
    <n v="1"/>
    <n v="10"/>
    <n v="3"/>
    <n v="2"/>
    <n v="3"/>
    <n v="272"/>
    <n v="4"/>
    <n v="58"/>
    <n v="5"/>
    <n v="50"/>
    <n v="80"/>
    <n v="55"/>
    <n v="61"/>
    <x v="0"/>
    <x v="0"/>
  </r>
  <r>
    <x v="340"/>
    <n v="8"/>
    <n v="8"/>
    <n v="8"/>
    <n v="5"/>
    <n v="5"/>
    <n v="3"/>
    <n v="352"/>
    <n v="0"/>
    <n v="44"/>
    <n v="6.8"/>
    <n v="68"/>
    <n v="80"/>
    <n v="15"/>
    <n v="56"/>
    <x v="1"/>
    <x v="0"/>
  </r>
  <r>
    <x v="341"/>
    <n v="2"/>
    <n v="6"/>
    <n v="9"/>
    <n v="4"/>
    <n v="10"/>
    <n v="4"/>
    <n v="409"/>
    <n v="3"/>
    <n v="82"/>
    <n v="6.2"/>
    <n v="62"/>
    <n v="100"/>
    <n v="50"/>
    <n v="70"/>
    <x v="2"/>
    <x v="0"/>
  </r>
  <r>
    <x v="342"/>
    <n v="1"/>
    <n v="8"/>
    <n v="6"/>
    <n v="3"/>
    <n v="7"/>
    <n v="7"/>
    <n v="281"/>
    <n v="4"/>
    <n v="66"/>
    <n v="5"/>
    <n v="50"/>
    <n v="80"/>
    <n v="75"/>
    <n v="67"/>
    <x v="0"/>
    <x v="0"/>
  </r>
  <r>
    <x v="343"/>
    <n v="3"/>
    <n v="2"/>
    <n v="5"/>
    <n v="6"/>
    <n v="6"/>
    <n v="4"/>
    <n v="177"/>
    <n v="1"/>
    <n v="79"/>
    <n v="4.4000000000000004"/>
    <n v="44"/>
    <n v="60"/>
    <n v="30"/>
    <n v="45"/>
    <x v="2"/>
    <x v="0"/>
  </r>
  <r>
    <x v="344"/>
    <n v="7"/>
    <n v="9"/>
    <n v="7"/>
    <n v="10"/>
    <n v="5"/>
    <n v="6"/>
    <n v="315"/>
    <n v="2"/>
    <n v="53"/>
    <n v="7.6"/>
    <n v="76"/>
    <n v="80"/>
    <n v="50"/>
    <n v="69"/>
    <x v="0"/>
    <x v="0"/>
  </r>
  <r>
    <x v="345"/>
    <n v="5"/>
    <n v="4"/>
    <n v="10"/>
    <n v="5"/>
    <n v="4"/>
    <n v="4"/>
    <n v="89"/>
    <n v="2"/>
    <n v="90"/>
    <n v="5.6"/>
    <n v="56"/>
    <n v="40"/>
    <n v="40"/>
    <n v="46"/>
    <x v="2"/>
    <x v="0"/>
  </r>
  <r>
    <x v="346"/>
    <n v="8"/>
    <n v="3"/>
    <n v="8"/>
    <n v="2"/>
    <n v="10"/>
    <n v="8"/>
    <n v="208"/>
    <n v="5"/>
    <n v="58"/>
    <n v="6.2"/>
    <n v="62"/>
    <n v="60"/>
    <n v="90"/>
    <n v="70"/>
    <x v="0"/>
    <x v="0"/>
  </r>
  <r>
    <x v="347"/>
    <n v="3"/>
    <n v="2"/>
    <n v="8"/>
    <n v="5"/>
    <n v="10"/>
    <n v="3"/>
    <n v="451"/>
    <n v="1"/>
    <n v="51"/>
    <n v="5.6"/>
    <n v="56"/>
    <n v="100"/>
    <n v="25"/>
    <n v="60"/>
    <x v="0"/>
    <x v="0"/>
  </r>
  <r>
    <x v="348"/>
    <n v="1"/>
    <n v="6"/>
    <n v="1"/>
    <n v="7"/>
    <n v="5"/>
    <n v="1"/>
    <n v="176"/>
    <n v="0"/>
    <n v="73"/>
    <n v="4"/>
    <n v="40"/>
    <n v="60"/>
    <n v="5"/>
    <n v="36"/>
    <x v="0"/>
    <x v="2"/>
  </r>
  <r>
    <x v="349"/>
    <n v="1"/>
    <n v="7"/>
    <n v="10"/>
    <n v="6"/>
    <n v="6"/>
    <n v="5"/>
    <n v="495"/>
    <n v="0"/>
    <n v="53"/>
    <n v="6"/>
    <n v="60"/>
    <n v="100"/>
    <n v="25"/>
    <n v="62"/>
    <x v="0"/>
    <x v="0"/>
  </r>
  <r>
    <x v="350"/>
    <n v="7"/>
    <n v="2"/>
    <n v="10"/>
    <n v="7"/>
    <n v="3"/>
    <n v="0"/>
    <n v="129"/>
    <n v="5"/>
    <n v="65"/>
    <n v="5.8"/>
    <n v="58"/>
    <n v="40"/>
    <n v="50"/>
    <n v="50"/>
    <x v="0"/>
    <x v="0"/>
  </r>
  <r>
    <x v="351"/>
    <n v="5"/>
    <n v="7"/>
    <n v="9"/>
    <n v="6"/>
    <n v="8"/>
    <n v="6"/>
    <n v="431"/>
    <n v="4"/>
    <n v="47"/>
    <n v="7"/>
    <n v="70"/>
    <n v="100"/>
    <n v="70"/>
    <n v="79"/>
    <x v="1"/>
    <x v="1"/>
  </r>
  <r>
    <x v="352"/>
    <n v="9"/>
    <n v="5"/>
    <n v="4"/>
    <n v="2"/>
    <n v="1"/>
    <n v="4"/>
    <n v="365"/>
    <n v="0"/>
    <n v="51"/>
    <n v="4.2"/>
    <n v="42"/>
    <n v="80"/>
    <n v="20"/>
    <n v="47"/>
    <x v="0"/>
    <x v="0"/>
  </r>
  <r>
    <x v="353"/>
    <n v="7"/>
    <n v="9"/>
    <n v="8"/>
    <n v="1"/>
    <n v="6"/>
    <n v="2"/>
    <n v="95"/>
    <n v="4"/>
    <n v="40"/>
    <n v="6.2"/>
    <n v="62"/>
    <n v="40"/>
    <n v="50"/>
    <n v="52"/>
    <x v="1"/>
    <x v="0"/>
  </r>
  <r>
    <x v="354"/>
    <n v="4"/>
    <n v="5"/>
    <n v="7"/>
    <n v="8"/>
    <n v="1"/>
    <n v="5"/>
    <n v="79"/>
    <n v="2"/>
    <n v="52"/>
    <n v="5"/>
    <n v="50"/>
    <n v="40"/>
    <n v="45"/>
    <n v="46"/>
    <x v="0"/>
    <x v="0"/>
  </r>
  <r>
    <x v="355"/>
    <n v="7"/>
    <n v="10"/>
    <n v="1"/>
    <n v="7"/>
    <n v="9"/>
    <n v="6"/>
    <n v="164"/>
    <n v="5"/>
    <n v="92"/>
    <n v="6.8"/>
    <n v="68"/>
    <n v="60"/>
    <n v="80"/>
    <n v="69"/>
    <x v="2"/>
    <x v="0"/>
  </r>
  <r>
    <x v="356"/>
    <n v="4"/>
    <n v="2"/>
    <n v="8"/>
    <n v="1"/>
    <n v="10"/>
    <n v="2"/>
    <n v="229"/>
    <n v="5"/>
    <n v="59"/>
    <n v="5"/>
    <n v="50"/>
    <n v="60"/>
    <n v="60"/>
    <n v="56"/>
    <x v="0"/>
    <x v="0"/>
  </r>
  <r>
    <x v="357"/>
    <n v="9"/>
    <n v="2"/>
    <n v="4"/>
    <n v="6"/>
    <n v="2"/>
    <n v="0"/>
    <n v="160"/>
    <n v="0"/>
    <n v="47"/>
    <n v="4.5999999999999996"/>
    <n v="46"/>
    <n v="60"/>
    <n v="0"/>
    <n v="36"/>
    <x v="1"/>
    <x v="2"/>
  </r>
  <r>
    <x v="358"/>
    <n v="10"/>
    <n v="6"/>
    <n v="8"/>
    <n v="2"/>
    <n v="6"/>
    <n v="7"/>
    <n v="187"/>
    <n v="1"/>
    <n v="69"/>
    <n v="6.4"/>
    <n v="64"/>
    <n v="60"/>
    <n v="45"/>
    <n v="57"/>
    <x v="0"/>
    <x v="0"/>
  </r>
  <r>
    <x v="359"/>
    <n v="9"/>
    <n v="9"/>
    <n v="6"/>
    <n v="4"/>
    <n v="8"/>
    <n v="8"/>
    <n v="311"/>
    <n v="2"/>
    <n v="92"/>
    <n v="7.2"/>
    <n v="72"/>
    <n v="80"/>
    <n v="60"/>
    <n v="71"/>
    <x v="2"/>
    <x v="1"/>
  </r>
  <r>
    <x v="360"/>
    <n v="9"/>
    <n v="4"/>
    <n v="6"/>
    <n v="3"/>
    <n v="1"/>
    <n v="3"/>
    <n v="335"/>
    <n v="0"/>
    <n v="61"/>
    <n v="4.5999999999999996"/>
    <n v="46"/>
    <n v="80"/>
    <n v="15"/>
    <n v="47"/>
    <x v="0"/>
    <x v="0"/>
  </r>
  <r>
    <x v="361"/>
    <n v="2"/>
    <n v="10"/>
    <n v="10"/>
    <n v="8"/>
    <n v="4"/>
    <n v="6"/>
    <n v="325"/>
    <n v="1"/>
    <n v="92"/>
    <n v="6.8"/>
    <n v="68"/>
    <n v="80"/>
    <n v="40"/>
    <n v="63"/>
    <x v="2"/>
    <x v="0"/>
  </r>
  <r>
    <x v="362"/>
    <n v="6"/>
    <n v="9"/>
    <n v="6"/>
    <n v="7"/>
    <n v="5"/>
    <n v="5"/>
    <n v="198"/>
    <n v="2"/>
    <n v="66"/>
    <n v="6.6"/>
    <n v="66"/>
    <n v="60"/>
    <n v="45"/>
    <n v="58"/>
    <x v="0"/>
    <x v="0"/>
  </r>
  <r>
    <x v="363"/>
    <n v="1"/>
    <n v="5"/>
    <n v="8"/>
    <n v="10"/>
    <n v="4"/>
    <n v="7"/>
    <n v="455"/>
    <n v="4"/>
    <n v="91"/>
    <n v="5.6"/>
    <n v="56"/>
    <n v="100"/>
    <n v="75"/>
    <n v="75"/>
    <x v="2"/>
    <x v="1"/>
  </r>
  <r>
    <x v="364"/>
    <n v="9"/>
    <n v="7"/>
    <n v="3"/>
    <n v="10"/>
    <n v="2"/>
    <n v="1"/>
    <n v="357"/>
    <n v="1"/>
    <n v="54"/>
    <n v="6.2"/>
    <n v="62"/>
    <n v="80"/>
    <n v="15"/>
    <n v="53"/>
    <x v="0"/>
    <x v="0"/>
  </r>
  <r>
    <x v="365"/>
    <n v="10"/>
    <n v="3"/>
    <n v="9"/>
    <n v="2"/>
    <n v="3"/>
    <n v="7"/>
    <n v="267"/>
    <n v="1"/>
    <n v="51"/>
    <n v="5.4"/>
    <n v="54"/>
    <n v="80"/>
    <n v="45"/>
    <n v="59"/>
    <x v="0"/>
    <x v="0"/>
  </r>
  <r>
    <x v="366"/>
    <n v="5"/>
    <n v="8"/>
    <n v="3"/>
    <n v="7"/>
    <n v="10"/>
    <n v="8"/>
    <n v="86"/>
    <n v="5"/>
    <n v="68"/>
    <n v="6.6"/>
    <n v="66"/>
    <n v="40"/>
    <n v="90"/>
    <n v="65"/>
    <x v="0"/>
    <x v="0"/>
  </r>
  <r>
    <x v="367"/>
    <n v="8"/>
    <n v="7"/>
    <n v="6"/>
    <n v="8"/>
    <n v="6"/>
    <n v="3"/>
    <n v="96"/>
    <n v="1"/>
    <n v="78"/>
    <n v="7"/>
    <n v="70"/>
    <n v="40"/>
    <n v="25"/>
    <n v="48"/>
    <x v="2"/>
    <x v="0"/>
  </r>
  <r>
    <x v="368"/>
    <n v="10"/>
    <n v="6"/>
    <n v="10"/>
    <n v="4"/>
    <n v="1"/>
    <n v="6"/>
    <n v="138"/>
    <n v="2"/>
    <n v="84"/>
    <n v="6.2"/>
    <n v="62"/>
    <n v="40"/>
    <n v="50"/>
    <n v="52"/>
    <x v="2"/>
    <x v="0"/>
  </r>
  <r>
    <x v="369"/>
    <n v="3"/>
    <n v="4"/>
    <n v="3"/>
    <n v="3"/>
    <n v="9"/>
    <n v="8"/>
    <n v="53"/>
    <n v="0"/>
    <n v="68"/>
    <n v="4.4000000000000004"/>
    <n v="44"/>
    <n v="40"/>
    <n v="40"/>
    <n v="42"/>
    <x v="0"/>
    <x v="0"/>
  </r>
  <r>
    <x v="370"/>
    <n v="6"/>
    <n v="4"/>
    <n v="10"/>
    <n v="5"/>
    <n v="5"/>
    <n v="2"/>
    <n v="292"/>
    <n v="5"/>
    <n v="42"/>
    <n v="6"/>
    <n v="60"/>
    <n v="80"/>
    <n v="60"/>
    <n v="66"/>
    <x v="1"/>
    <x v="0"/>
  </r>
  <r>
    <x v="371"/>
    <n v="9"/>
    <n v="6"/>
    <n v="9"/>
    <n v="2"/>
    <n v="8"/>
    <n v="3"/>
    <n v="344"/>
    <n v="5"/>
    <n v="84"/>
    <n v="6.8"/>
    <n v="68"/>
    <n v="80"/>
    <n v="65"/>
    <n v="71"/>
    <x v="2"/>
    <x v="1"/>
  </r>
  <r>
    <x v="372"/>
    <n v="3"/>
    <n v="5"/>
    <n v="8"/>
    <n v="9"/>
    <n v="1"/>
    <n v="3"/>
    <n v="446"/>
    <n v="2"/>
    <n v="80"/>
    <n v="5.2"/>
    <n v="52"/>
    <n v="100"/>
    <n v="35"/>
    <n v="61"/>
    <x v="2"/>
    <x v="0"/>
  </r>
  <r>
    <x v="373"/>
    <n v="8"/>
    <n v="1"/>
    <n v="9"/>
    <n v="7"/>
    <n v="4"/>
    <n v="3"/>
    <n v="298"/>
    <n v="2"/>
    <n v="72"/>
    <n v="5.8"/>
    <n v="58"/>
    <n v="80"/>
    <n v="35"/>
    <n v="58"/>
    <x v="0"/>
    <x v="0"/>
  </r>
  <r>
    <x v="374"/>
    <n v="4"/>
    <n v="10"/>
    <n v="6"/>
    <n v="10"/>
    <n v="3"/>
    <n v="2"/>
    <n v="391"/>
    <n v="5"/>
    <n v="58"/>
    <n v="6.6"/>
    <n v="66"/>
    <n v="80"/>
    <n v="60"/>
    <n v="68"/>
    <x v="0"/>
    <x v="0"/>
  </r>
  <r>
    <x v="375"/>
    <n v="10"/>
    <n v="1"/>
    <n v="4"/>
    <n v="9"/>
    <n v="9"/>
    <n v="4"/>
    <n v="116"/>
    <n v="1"/>
    <n v="40"/>
    <n v="6.6"/>
    <n v="66"/>
    <n v="40"/>
    <n v="30"/>
    <n v="47"/>
    <x v="1"/>
    <x v="0"/>
  </r>
  <r>
    <x v="376"/>
    <n v="8"/>
    <n v="6"/>
    <n v="6"/>
    <n v="2"/>
    <n v="3"/>
    <n v="6"/>
    <n v="134"/>
    <n v="3"/>
    <n v="84"/>
    <n v="5"/>
    <n v="50"/>
    <n v="40"/>
    <n v="60"/>
    <n v="50"/>
    <x v="2"/>
    <x v="0"/>
  </r>
  <r>
    <x v="377"/>
    <n v="9"/>
    <n v="8"/>
    <n v="6"/>
    <n v="9"/>
    <n v="8"/>
    <n v="4"/>
    <n v="52"/>
    <n v="2"/>
    <n v="51"/>
    <n v="8"/>
    <n v="80"/>
    <n v="40"/>
    <n v="40"/>
    <n v="56"/>
    <x v="0"/>
    <x v="0"/>
  </r>
  <r>
    <x v="378"/>
    <n v="4"/>
    <n v="2"/>
    <n v="5"/>
    <n v="1"/>
    <n v="2"/>
    <n v="5"/>
    <n v="84"/>
    <n v="4"/>
    <n v="83"/>
    <n v="2.8"/>
    <n v="28"/>
    <n v="40"/>
    <n v="65"/>
    <n v="43"/>
    <x v="2"/>
    <x v="0"/>
  </r>
  <r>
    <x v="379"/>
    <n v="8"/>
    <n v="2"/>
    <n v="8"/>
    <n v="3"/>
    <n v="4"/>
    <n v="2"/>
    <n v="337"/>
    <n v="1"/>
    <n v="53"/>
    <n v="5"/>
    <n v="50"/>
    <n v="80"/>
    <n v="20"/>
    <n v="50"/>
    <x v="0"/>
    <x v="0"/>
  </r>
  <r>
    <x v="380"/>
    <n v="2"/>
    <n v="2"/>
    <n v="1"/>
    <n v="1"/>
    <n v="4"/>
    <n v="0"/>
    <n v="395"/>
    <n v="5"/>
    <n v="95"/>
    <n v="2"/>
    <n v="20"/>
    <n v="80"/>
    <n v="50"/>
    <n v="47"/>
    <x v="2"/>
    <x v="0"/>
  </r>
  <r>
    <x v="381"/>
    <n v="2"/>
    <n v="10"/>
    <n v="5"/>
    <n v="8"/>
    <n v="2"/>
    <n v="4"/>
    <n v="443"/>
    <n v="0"/>
    <n v="42"/>
    <n v="5.4"/>
    <n v="54"/>
    <n v="100"/>
    <n v="20"/>
    <n v="58"/>
    <x v="1"/>
    <x v="0"/>
  </r>
  <r>
    <x v="382"/>
    <n v="6"/>
    <n v="9"/>
    <n v="10"/>
    <n v="3"/>
    <n v="10"/>
    <n v="0"/>
    <n v="376"/>
    <n v="5"/>
    <n v="85"/>
    <n v="7.6"/>
    <n v="76"/>
    <n v="80"/>
    <n v="50"/>
    <n v="69"/>
    <x v="2"/>
    <x v="0"/>
  </r>
  <r>
    <x v="383"/>
    <n v="2"/>
    <n v="3"/>
    <n v="7"/>
    <n v="3"/>
    <n v="9"/>
    <n v="5"/>
    <n v="126"/>
    <n v="1"/>
    <n v="76"/>
    <n v="4.8"/>
    <n v="48"/>
    <n v="40"/>
    <n v="35"/>
    <n v="42"/>
    <x v="2"/>
    <x v="0"/>
  </r>
  <r>
    <x v="384"/>
    <n v="5"/>
    <n v="7"/>
    <n v="2"/>
    <n v="5"/>
    <n v="10"/>
    <n v="3"/>
    <n v="500"/>
    <n v="4"/>
    <n v="53"/>
    <n v="5.8"/>
    <n v="58"/>
    <n v="100"/>
    <n v="55"/>
    <n v="70"/>
    <x v="0"/>
    <x v="0"/>
  </r>
  <r>
    <x v="385"/>
    <n v="7"/>
    <n v="1"/>
    <n v="4"/>
    <n v="8"/>
    <n v="10"/>
    <n v="0"/>
    <n v="101"/>
    <n v="4"/>
    <n v="87"/>
    <n v="6"/>
    <n v="60"/>
    <n v="40"/>
    <n v="40"/>
    <n v="48"/>
    <x v="2"/>
    <x v="0"/>
  </r>
  <r>
    <x v="386"/>
    <n v="10"/>
    <n v="6"/>
    <n v="7"/>
    <n v="10"/>
    <n v="4"/>
    <n v="0"/>
    <n v="150"/>
    <n v="1"/>
    <n v="65"/>
    <n v="7.4"/>
    <n v="74"/>
    <n v="60"/>
    <n v="10"/>
    <n v="51"/>
    <x v="0"/>
    <x v="0"/>
  </r>
  <r>
    <x v="387"/>
    <n v="5"/>
    <n v="9"/>
    <n v="5"/>
    <n v="3"/>
    <n v="10"/>
    <n v="2"/>
    <n v="365"/>
    <n v="2"/>
    <n v="95"/>
    <n v="6.4"/>
    <n v="64"/>
    <n v="80"/>
    <n v="30"/>
    <n v="59"/>
    <x v="2"/>
    <x v="0"/>
  </r>
  <r>
    <x v="388"/>
    <n v="10"/>
    <n v="5"/>
    <n v="4"/>
    <n v="2"/>
    <n v="7"/>
    <n v="2"/>
    <n v="464"/>
    <n v="0"/>
    <n v="45"/>
    <n v="5.6"/>
    <n v="56"/>
    <n v="100"/>
    <n v="10"/>
    <n v="55"/>
    <x v="1"/>
    <x v="0"/>
  </r>
  <r>
    <x v="389"/>
    <n v="8"/>
    <n v="4"/>
    <n v="7"/>
    <n v="1"/>
    <n v="4"/>
    <n v="2"/>
    <n v="327"/>
    <n v="4"/>
    <n v="41"/>
    <n v="4.8"/>
    <n v="48"/>
    <n v="80"/>
    <n v="50"/>
    <n v="58"/>
    <x v="1"/>
    <x v="0"/>
  </r>
  <r>
    <x v="390"/>
    <n v="10"/>
    <n v="6"/>
    <n v="4"/>
    <n v="8"/>
    <n v="5"/>
    <n v="8"/>
    <n v="434"/>
    <n v="0"/>
    <n v="75"/>
    <n v="6.6"/>
    <n v="66"/>
    <n v="100"/>
    <n v="40"/>
    <n v="68"/>
    <x v="2"/>
    <x v="0"/>
  </r>
  <r>
    <x v="391"/>
    <n v="3"/>
    <n v="10"/>
    <n v="7"/>
    <n v="4"/>
    <n v="8"/>
    <n v="6"/>
    <n v="251"/>
    <n v="5"/>
    <n v="42"/>
    <n v="6.4"/>
    <n v="64"/>
    <n v="80"/>
    <n v="80"/>
    <n v="74"/>
    <x v="1"/>
    <x v="1"/>
  </r>
  <r>
    <x v="392"/>
    <n v="9"/>
    <n v="10"/>
    <n v="10"/>
    <n v="9"/>
    <n v="8"/>
    <n v="2"/>
    <n v="58"/>
    <n v="5"/>
    <n v="46"/>
    <n v="9.1999999999999993"/>
    <n v="92"/>
    <n v="40"/>
    <n v="60"/>
    <n v="67"/>
    <x v="1"/>
    <x v="0"/>
  </r>
  <r>
    <x v="393"/>
    <n v="10"/>
    <n v="7"/>
    <n v="7"/>
    <n v="6"/>
    <n v="9"/>
    <n v="4"/>
    <n v="491"/>
    <n v="3"/>
    <n v="63"/>
    <n v="7.8"/>
    <n v="78"/>
    <n v="100"/>
    <n v="50"/>
    <n v="76"/>
    <x v="0"/>
    <x v="1"/>
  </r>
  <r>
    <x v="394"/>
    <n v="6"/>
    <n v="1"/>
    <n v="4"/>
    <n v="4"/>
    <n v="7"/>
    <n v="4"/>
    <n v="410"/>
    <n v="2"/>
    <n v="76"/>
    <n v="4.4000000000000004"/>
    <n v="44"/>
    <n v="100"/>
    <n v="40"/>
    <n v="60"/>
    <x v="2"/>
    <x v="0"/>
  </r>
  <r>
    <x v="395"/>
    <n v="10"/>
    <n v="3"/>
    <n v="2"/>
    <n v="5"/>
    <n v="8"/>
    <n v="1"/>
    <n v="249"/>
    <n v="0"/>
    <n v="88"/>
    <n v="5.6"/>
    <n v="56"/>
    <n v="60"/>
    <n v="5"/>
    <n v="42"/>
    <x v="2"/>
    <x v="0"/>
  </r>
  <r>
    <x v="396"/>
    <n v="9"/>
    <n v="4"/>
    <n v="3"/>
    <n v="5"/>
    <n v="1"/>
    <n v="6"/>
    <n v="406"/>
    <n v="4"/>
    <n v="76"/>
    <n v="4.4000000000000004"/>
    <n v="44"/>
    <n v="100"/>
    <n v="70"/>
    <n v="69"/>
    <x v="2"/>
    <x v="0"/>
  </r>
  <r>
    <x v="397"/>
    <n v="1"/>
    <n v="9"/>
    <n v="10"/>
    <n v="8"/>
    <n v="3"/>
    <n v="1"/>
    <n v="110"/>
    <n v="4"/>
    <n v="64"/>
    <n v="6.2"/>
    <n v="62"/>
    <n v="40"/>
    <n v="45"/>
    <n v="50"/>
    <x v="0"/>
    <x v="0"/>
  </r>
  <r>
    <x v="398"/>
    <n v="8"/>
    <n v="3"/>
    <n v="8"/>
    <n v="10"/>
    <n v="7"/>
    <n v="0"/>
    <n v="51"/>
    <n v="3"/>
    <n v="71"/>
    <n v="7.2"/>
    <n v="72"/>
    <n v="40"/>
    <n v="30"/>
    <n v="50"/>
    <x v="0"/>
    <x v="0"/>
  </r>
  <r>
    <x v="399"/>
    <n v="4"/>
    <n v="1"/>
    <n v="9"/>
    <n v="6"/>
    <n v="5"/>
    <n v="0"/>
    <n v="225"/>
    <n v="3"/>
    <n v="42"/>
    <n v="5"/>
    <n v="50"/>
    <n v="60"/>
    <n v="30"/>
    <n v="47"/>
    <x v="1"/>
    <x v="0"/>
  </r>
  <r>
    <x v="400"/>
    <n v="6"/>
    <n v="9"/>
    <n v="7"/>
    <n v="7"/>
    <n v="6"/>
    <n v="8"/>
    <n v="63"/>
    <n v="4"/>
    <n v="79"/>
    <n v="7"/>
    <n v="70"/>
    <n v="40"/>
    <n v="80"/>
    <n v="64"/>
    <x v="2"/>
    <x v="0"/>
  </r>
  <r>
    <x v="401"/>
    <n v="6"/>
    <n v="6"/>
    <n v="10"/>
    <n v="9"/>
    <n v="4"/>
    <n v="3"/>
    <n v="388"/>
    <n v="1"/>
    <n v="40"/>
    <n v="7"/>
    <n v="70"/>
    <n v="80"/>
    <n v="25"/>
    <n v="60"/>
    <x v="1"/>
    <x v="0"/>
  </r>
  <r>
    <x v="402"/>
    <n v="1"/>
    <n v="5"/>
    <n v="3"/>
    <n v="1"/>
    <n v="4"/>
    <n v="4"/>
    <n v="110"/>
    <n v="0"/>
    <n v="70"/>
    <n v="2.8"/>
    <n v="28"/>
    <n v="40"/>
    <n v="20"/>
    <n v="29"/>
    <x v="0"/>
    <x v="2"/>
  </r>
  <r>
    <x v="403"/>
    <n v="4"/>
    <n v="5"/>
    <n v="6"/>
    <n v="6"/>
    <n v="2"/>
    <n v="3"/>
    <n v="180"/>
    <n v="4"/>
    <n v="62"/>
    <n v="4.5999999999999996"/>
    <n v="46"/>
    <n v="60"/>
    <n v="55"/>
    <n v="53"/>
    <x v="0"/>
    <x v="0"/>
  </r>
  <r>
    <x v="404"/>
    <n v="1"/>
    <n v="5"/>
    <n v="2"/>
    <n v="6"/>
    <n v="5"/>
    <n v="8"/>
    <n v="345"/>
    <n v="4"/>
    <n v="53"/>
    <n v="3.8"/>
    <n v="38"/>
    <n v="80"/>
    <n v="80"/>
    <n v="63"/>
    <x v="0"/>
    <x v="0"/>
  </r>
  <r>
    <x v="405"/>
    <n v="4"/>
    <n v="7"/>
    <n v="7"/>
    <n v="5"/>
    <n v="8"/>
    <n v="7"/>
    <n v="123"/>
    <n v="4"/>
    <n v="40"/>
    <n v="6.2"/>
    <n v="62"/>
    <n v="40"/>
    <n v="75"/>
    <n v="59"/>
    <x v="1"/>
    <x v="0"/>
  </r>
  <r>
    <x v="406"/>
    <n v="5"/>
    <n v="9"/>
    <n v="7"/>
    <n v="8"/>
    <n v="9"/>
    <n v="3"/>
    <n v="314"/>
    <n v="0"/>
    <n v="62"/>
    <n v="7.6"/>
    <n v="76"/>
    <n v="80"/>
    <n v="15"/>
    <n v="59"/>
    <x v="0"/>
    <x v="0"/>
  </r>
  <r>
    <x v="407"/>
    <n v="6"/>
    <n v="2"/>
    <n v="8"/>
    <n v="7"/>
    <n v="5"/>
    <n v="4"/>
    <n v="438"/>
    <n v="1"/>
    <n v="56"/>
    <n v="5.6"/>
    <n v="56"/>
    <n v="100"/>
    <n v="30"/>
    <n v="61"/>
    <x v="0"/>
    <x v="0"/>
  </r>
  <r>
    <x v="408"/>
    <n v="5"/>
    <n v="5"/>
    <n v="3"/>
    <n v="6"/>
    <n v="3"/>
    <n v="3"/>
    <n v="425"/>
    <n v="3"/>
    <n v="40"/>
    <n v="4.4000000000000004"/>
    <n v="44"/>
    <n v="100"/>
    <n v="45"/>
    <n v="61"/>
    <x v="1"/>
    <x v="0"/>
  </r>
  <r>
    <x v="409"/>
    <n v="5"/>
    <n v="3"/>
    <n v="2"/>
    <n v="6"/>
    <n v="7"/>
    <n v="5"/>
    <n v="82"/>
    <n v="1"/>
    <n v="51"/>
    <n v="4.5999999999999996"/>
    <n v="46"/>
    <n v="40"/>
    <n v="35"/>
    <n v="41"/>
    <x v="0"/>
    <x v="0"/>
  </r>
  <r>
    <x v="410"/>
    <n v="10"/>
    <n v="7"/>
    <n v="5"/>
    <n v="6"/>
    <n v="10"/>
    <n v="6"/>
    <n v="220"/>
    <n v="5"/>
    <n v="48"/>
    <n v="7.6"/>
    <n v="76"/>
    <n v="60"/>
    <n v="80"/>
    <n v="72"/>
    <x v="1"/>
    <x v="1"/>
  </r>
  <r>
    <x v="411"/>
    <n v="7"/>
    <n v="7"/>
    <n v="2"/>
    <n v="8"/>
    <n v="6"/>
    <n v="2"/>
    <n v="116"/>
    <n v="3"/>
    <n v="92"/>
    <n v="6"/>
    <n v="60"/>
    <n v="40"/>
    <n v="40"/>
    <n v="48"/>
    <x v="2"/>
    <x v="0"/>
  </r>
  <r>
    <x v="412"/>
    <n v="9"/>
    <n v="7"/>
    <n v="1"/>
    <n v="10"/>
    <n v="6"/>
    <n v="7"/>
    <n v="105"/>
    <n v="2"/>
    <n v="93"/>
    <n v="6.6"/>
    <n v="66"/>
    <n v="40"/>
    <n v="55"/>
    <n v="55"/>
    <x v="2"/>
    <x v="0"/>
  </r>
  <r>
    <x v="413"/>
    <n v="10"/>
    <n v="5"/>
    <n v="8"/>
    <n v="4"/>
    <n v="2"/>
    <n v="8"/>
    <n v="283"/>
    <n v="5"/>
    <n v="51"/>
    <n v="5.8"/>
    <n v="58"/>
    <n v="80"/>
    <n v="90"/>
    <n v="74"/>
    <x v="0"/>
    <x v="1"/>
  </r>
  <r>
    <x v="414"/>
    <n v="7"/>
    <n v="8"/>
    <n v="5"/>
    <n v="4"/>
    <n v="1"/>
    <n v="4"/>
    <n v="228"/>
    <n v="4"/>
    <n v="60"/>
    <n v="5"/>
    <n v="50"/>
    <n v="60"/>
    <n v="60"/>
    <n v="56"/>
    <x v="0"/>
    <x v="0"/>
  </r>
  <r>
    <x v="415"/>
    <n v="7"/>
    <n v="7"/>
    <n v="8"/>
    <n v="3"/>
    <n v="6"/>
    <n v="2"/>
    <n v="308"/>
    <n v="0"/>
    <n v="84"/>
    <n v="6.2"/>
    <n v="62"/>
    <n v="80"/>
    <n v="10"/>
    <n v="52"/>
    <x v="2"/>
    <x v="0"/>
  </r>
  <r>
    <x v="416"/>
    <n v="5"/>
    <n v="7"/>
    <n v="7"/>
    <n v="1"/>
    <n v="2"/>
    <n v="0"/>
    <n v="434"/>
    <n v="3"/>
    <n v="53"/>
    <n v="4.4000000000000004"/>
    <n v="44"/>
    <n v="100"/>
    <n v="30"/>
    <n v="57"/>
    <x v="0"/>
    <x v="0"/>
  </r>
  <r>
    <x v="417"/>
    <n v="1"/>
    <n v="9"/>
    <n v="3"/>
    <n v="8"/>
    <n v="2"/>
    <n v="5"/>
    <n v="224"/>
    <n v="1"/>
    <n v="51"/>
    <n v="4.5999999999999996"/>
    <n v="46"/>
    <n v="60"/>
    <n v="35"/>
    <n v="47"/>
    <x v="0"/>
    <x v="0"/>
  </r>
  <r>
    <x v="418"/>
    <n v="9"/>
    <n v="9"/>
    <n v="3"/>
    <n v="4"/>
    <n v="2"/>
    <n v="1"/>
    <n v="445"/>
    <n v="1"/>
    <n v="62"/>
    <n v="5.4"/>
    <n v="54"/>
    <n v="100"/>
    <n v="15"/>
    <n v="56"/>
    <x v="0"/>
    <x v="0"/>
  </r>
  <r>
    <x v="419"/>
    <n v="10"/>
    <n v="2"/>
    <n v="6"/>
    <n v="8"/>
    <n v="6"/>
    <n v="2"/>
    <n v="271"/>
    <n v="3"/>
    <n v="71"/>
    <n v="6.4"/>
    <n v="64"/>
    <n v="80"/>
    <n v="40"/>
    <n v="62"/>
    <x v="0"/>
    <x v="0"/>
  </r>
  <r>
    <x v="420"/>
    <n v="8"/>
    <n v="6"/>
    <n v="4"/>
    <n v="2"/>
    <n v="1"/>
    <n v="7"/>
    <n v="287"/>
    <n v="3"/>
    <n v="86"/>
    <n v="4.2"/>
    <n v="42"/>
    <n v="80"/>
    <n v="65"/>
    <n v="60"/>
    <x v="2"/>
    <x v="0"/>
  </r>
  <r>
    <x v="421"/>
    <n v="5"/>
    <n v="2"/>
    <n v="8"/>
    <n v="6"/>
    <n v="6"/>
    <n v="6"/>
    <n v="309"/>
    <n v="5"/>
    <n v="92"/>
    <n v="5.4"/>
    <n v="54"/>
    <n v="80"/>
    <n v="80"/>
    <n v="70"/>
    <x v="2"/>
    <x v="0"/>
  </r>
  <r>
    <x v="422"/>
    <n v="9"/>
    <n v="4"/>
    <n v="8"/>
    <n v="7"/>
    <n v="1"/>
    <n v="3"/>
    <n v="289"/>
    <n v="2"/>
    <n v="67"/>
    <n v="5.8"/>
    <n v="58"/>
    <n v="80"/>
    <n v="35"/>
    <n v="58"/>
    <x v="0"/>
    <x v="0"/>
  </r>
  <r>
    <x v="423"/>
    <n v="4"/>
    <n v="4"/>
    <n v="10"/>
    <n v="1"/>
    <n v="1"/>
    <n v="3"/>
    <n v="238"/>
    <n v="2"/>
    <n v="88"/>
    <n v="4"/>
    <n v="40"/>
    <n v="60"/>
    <n v="35"/>
    <n v="45"/>
    <x v="2"/>
    <x v="0"/>
  </r>
  <r>
    <x v="424"/>
    <n v="9"/>
    <n v="9"/>
    <n v="10"/>
    <n v="5"/>
    <n v="8"/>
    <n v="4"/>
    <n v="264"/>
    <n v="5"/>
    <n v="70"/>
    <n v="8.1999999999999993"/>
    <n v="82"/>
    <n v="80"/>
    <n v="70"/>
    <n v="78"/>
    <x v="0"/>
    <x v="1"/>
  </r>
  <r>
    <x v="425"/>
    <n v="6"/>
    <n v="9"/>
    <n v="10"/>
    <n v="6"/>
    <n v="4"/>
    <n v="1"/>
    <n v="418"/>
    <n v="1"/>
    <n v="62"/>
    <n v="7"/>
    <n v="70"/>
    <n v="100"/>
    <n v="15"/>
    <n v="63"/>
    <x v="0"/>
    <x v="0"/>
  </r>
  <r>
    <x v="426"/>
    <n v="5"/>
    <n v="10"/>
    <n v="4"/>
    <n v="7"/>
    <n v="5"/>
    <n v="3"/>
    <n v="304"/>
    <n v="5"/>
    <n v="93"/>
    <n v="6.2"/>
    <n v="62"/>
    <n v="80"/>
    <n v="65"/>
    <n v="68"/>
    <x v="2"/>
    <x v="0"/>
  </r>
  <r>
    <x v="427"/>
    <n v="8"/>
    <n v="5"/>
    <n v="3"/>
    <n v="8"/>
    <n v="1"/>
    <n v="6"/>
    <n v="330"/>
    <n v="0"/>
    <n v="42"/>
    <n v="5"/>
    <n v="50"/>
    <n v="80"/>
    <n v="30"/>
    <n v="53"/>
    <x v="1"/>
    <x v="0"/>
  </r>
  <r>
    <x v="428"/>
    <n v="1"/>
    <n v="9"/>
    <n v="4"/>
    <n v="9"/>
    <n v="10"/>
    <n v="6"/>
    <n v="440"/>
    <n v="5"/>
    <n v="60"/>
    <n v="6.6"/>
    <n v="66"/>
    <n v="100"/>
    <n v="80"/>
    <n v="80"/>
    <x v="0"/>
    <x v="1"/>
  </r>
  <r>
    <x v="429"/>
    <n v="2"/>
    <n v="2"/>
    <n v="6"/>
    <n v="1"/>
    <n v="5"/>
    <n v="2"/>
    <n v="54"/>
    <n v="4"/>
    <n v="86"/>
    <n v="3.2"/>
    <n v="32"/>
    <n v="40"/>
    <n v="50"/>
    <n v="40"/>
    <x v="2"/>
    <x v="0"/>
  </r>
  <r>
    <x v="430"/>
    <n v="9"/>
    <n v="2"/>
    <n v="2"/>
    <n v="5"/>
    <n v="10"/>
    <n v="4"/>
    <n v="438"/>
    <n v="2"/>
    <n v="94"/>
    <n v="5.6"/>
    <n v="56"/>
    <n v="100"/>
    <n v="40"/>
    <n v="64"/>
    <x v="2"/>
    <x v="0"/>
  </r>
  <r>
    <x v="431"/>
    <n v="10"/>
    <n v="5"/>
    <n v="3"/>
    <n v="1"/>
    <n v="5"/>
    <n v="3"/>
    <n v="358"/>
    <n v="3"/>
    <n v="53"/>
    <n v="4.8"/>
    <n v="48"/>
    <n v="80"/>
    <n v="45"/>
    <n v="57"/>
    <x v="0"/>
    <x v="0"/>
  </r>
  <r>
    <x v="432"/>
    <n v="5"/>
    <n v="5"/>
    <n v="7"/>
    <n v="3"/>
    <n v="10"/>
    <n v="8"/>
    <n v="486"/>
    <n v="3"/>
    <n v="69"/>
    <n v="6"/>
    <n v="60"/>
    <n v="100"/>
    <n v="70"/>
    <n v="75"/>
    <x v="0"/>
    <x v="1"/>
  </r>
  <r>
    <x v="433"/>
    <n v="8"/>
    <n v="1"/>
    <n v="1"/>
    <n v="10"/>
    <n v="8"/>
    <n v="2"/>
    <n v="307"/>
    <n v="1"/>
    <n v="65"/>
    <n v="5.6"/>
    <n v="56"/>
    <n v="80"/>
    <n v="20"/>
    <n v="52"/>
    <x v="0"/>
    <x v="0"/>
  </r>
  <r>
    <x v="434"/>
    <n v="6"/>
    <n v="7"/>
    <n v="9"/>
    <n v="7"/>
    <n v="9"/>
    <n v="4"/>
    <n v="436"/>
    <n v="3"/>
    <n v="93"/>
    <n v="7.6"/>
    <n v="76"/>
    <n v="100"/>
    <n v="50"/>
    <n v="75"/>
    <x v="2"/>
    <x v="1"/>
  </r>
  <r>
    <x v="435"/>
    <n v="8"/>
    <n v="2"/>
    <n v="7"/>
    <n v="2"/>
    <n v="3"/>
    <n v="5"/>
    <n v="295"/>
    <n v="3"/>
    <n v="44"/>
    <n v="4.4000000000000004"/>
    <n v="44"/>
    <n v="80"/>
    <n v="55"/>
    <n v="58"/>
    <x v="1"/>
    <x v="0"/>
  </r>
  <r>
    <x v="436"/>
    <n v="5"/>
    <n v="10"/>
    <n v="10"/>
    <n v="3"/>
    <n v="2"/>
    <n v="0"/>
    <n v="438"/>
    <n v="5"/>
    <n v="83"/>
    <n v="6"/>
    <n v="60"/>
    <n v="100"/>
    <n v="50"/>
    <n v="69"/>
    <x v="2"/>
    <x v="0"/>
  </r>
  <r>
    <x v="437"/>
    <n v="6"/>
    <n v="8"/>
    <n v="8"/>
    <n v="6"/>
    <n v="3"/>
    <n v="4"/>
    <n v="419"/>
    <n v="1"/>
    <n v="68"/>
    <n v="6.2"/>
    <n v="62"/>
    <n v="100"/>
    <n v="30"/>
    <n v="64"/>
    <x v="0"/>
    <x v="0"/>
  </r>
  <r>
    <x v="438"/>
    <n v="1"/>
    <n v="8"/>
    <n v="3"/>
    <n v="7"/>
    <n v="8"/>
    <n v="2"/>
    <n v="208"/>
    <n v="2"/>
    <n v="95"/>
    <n v="5.4"/>
    <n v="54"/>
    <n v="60"/>
    <n v="30"/>
    <n v="49"/>
    <x v="2"/>
    <x v="0"/>
  </r>
  <r>
    <x v="439"/>
    <n v="1"/>
    <n v="1"/>
    <n v="1"/>
    <n v="10"/>
    <n v="5"/>
    <n v="3"/>
    <n v="347"/>
    <n v="3"/>
    <n v="57"/>
    <n v="3.6"/>
    <n v="36"/>
    <n v="80"/>
    <n v="45"/>
    <n v="52"/>
    <x v="0"/>
    <x v="0"/>
  </r>
  <r>
    <x v="440"/>
    <n v="4"/>
    <n v="2"/>
    <n v="8"/>
    <n v="4"/>
    <n v="1"/>
    <n v="8"/>
    <n v="394"/>
    <n v="5"/>
    <n v="73"/>
    <n v="3.8"/>
    <n v="38"/>
    <n v="80"/>
    <n v="90"/>
    <n v="66"/>
    <x v="0"/>
    <x v="0"/>
  </r>
  <r>
    <x v="441"/>
    <n v="9"/>
    <n v="8"/>
    <n v="4"/>
    <n v="8"/>
    <n v="7"/>
    <n v="5"/>
    <n v="163"/>
    <n v="2"/>
    <n v="58"/>
    <n v="7.2"/>
    <n v="72"/>
    <n v="60"/>
    <n v="45"/>
    <n v="60"/>
    <x v="0"/>
    <x v="0"/>
  </r>
  <r>
    <x v="442"/>
    <n v="9"/>
    <n v="5"/>
    <n v="8"/>
    <n v="7"/>
    <n v="2"/>
    <n v="4"/>
    <n v="383"/>
    <n v="5"/>
    <n v="91"/>
    <n v="6.2"/>
    <n v="62"/>
    <n v="80"/>
    <n v="70"/>
    <n v="70"/>
    <x v="2"/>
    <x v="0"/>
  </r>
  <r>
    <x v="443"/>
    <n v="5"/>
    <n v="3"/>
    <n v="9"/>
    <n v="6"/>
    <n v="3"/>
    <n v="0"/>
    <n v="177"/>
    <n v="2"/>
    <n v="82"/>
    <n v="5.2"/>
    <n v="52"/>
    <n v="60"/>
    <n v="20"/>
    <n v="45"/>
    <x v="2"/>
    <x v="0"/>
  </r>
  <r>
    <x v="444"/>
    <n v="9"/>
    <n v="4"/>
    <n v="4"/>
    <n v="5"/>
    <n v="6"/>
    <n v="2"/>
    <n v="218"/>
    <n v="0"/>
    <n v="62"/>
    <n v="5.6"/>
    <n v="56"/>
    <n v="60"/>
    <n v="10"/>
    <n v="43"/>
    <x v="0"/>
    <x v="0"/>
  </r>
  <r>
    <x v="445"/>
    <n v="7"/>
    <n v="3"/>
    <n v="8"/>
    <n v="1"/>
    <n v="10"/>
    <n v="4"/>
    <n v="380"/>
    <n v="1"/>
    <n v="85"/>
    <n v="5.8"/>
    <n v="58"/>
    <n v="80"/>
    <n v="30"/>
    <n v="56"/>
    <x v="2"/>
    <x v="0"/>
  </r>
  <r>
    <x v="446"/>
    <n v="5"/>
    <n v="7"/>
    <n v="4"/>
    <n v="6"/>
    <n v="1"/>
    <n v="1"/>
    <n v="223"/>
    <n v="3"/>
    <n v="63"/>
    <n v="4.5999999999999996"/>
    <n v="46"/>
    <n v="60"/>
    <n v="35"/>
    <n v="47"/>
    <x v="0"/>
    <x v="0"/>
  </r>
  <r>
    <x v="447"/>
    <n v="8"/>
    <n v="6"/>
    <n v="8"/>
    <n v="9"/>
    <n v="7"/>
    <n v="8"/>
    <n v="210"/>
    <n v="2"/>
    <n v="54"/>
    <n v="7.6"/>
    <n v="76"/>
    <n v="60"/>
    <n v="60"/>
    <n v="66"/>
    <x v="0"/>
    <x v="0"/>
  </r>
  <r>
    <x v="448"/>
    <n v="6"/>
    <n v="7"/>
    <n v="5"/>
    <n v="3"/>
    <n v="2"/>
    <n v="6"/>
    <n v="296"/>
    <n v="2"/>
    <n v="83"/>
    <n v="4.5999999999999996"/>
    <n v="46"/>
    <n v="80"/>
    <n v="50"/>
    <n v="57"/>
    <x v="2"/>
    <x v="0"/>
  </r>
  <r>
    <x v="449"/>
    <n v="6"/>
    <n v="7"/>
    <n v="7"/>
    <n v="4"/>
    <n v="10"/>
    <n v="4"/>
    <n v="436"/>
    <n v="1"/>
    <n v="52"/>
    <n v="6.8"/>
    <n v="68"/>
    <n v="100"/>
    <n v="30"/>
    <n v="66"/>
    <x v="0"/>
    <x v="0"/>
  </r>
  <r>
    <x v="450"/>
    <n v="2"/>
    <n v="1"/>
    <n v="1"/>
    <n v="1"/>
    <n v="1"/>
    <n v="2"/>
    <n v="365"/>
    <n v="1"/>
    <n v="45"/>
    <n v="1.2"/>
    <n v="12"/>
    <n v="80"/>
    <n v="20"/>
    <n v="35"/>
    <x v="1"/>
    <x v="2"/>
  </r>
  <r>
    <x v="451"/>
    <n v="10"/>
    <n v="1"/>
    <n v="4"/>
    <n v="1"/>
    <n v="3"/>
    <n v="1"/>
    <n v="270"/>
    <n v="5"/>
    <n v="74"/>
    <n v="3.8"/>
    <n v="38"/>
    <n v="80"/>
    <n v="55"/>
    <n v="56"/>
    <x v="0"/>
    <x v="0"/>
  </r>
  <r>
    <x v="452"/>
    <n v="9"/>
    <n v="4"/>
    <n v="5"/>
    <n v="4"/>
    <n v="4"/>
    <n v="1"/>
    <n v="311"/>
    <n v="4"/>
    <n v="78"/>
    <n v="5.2"/>
    <n v="52"/>
    <n v="80"/>
    <n v="45"/>
    <n v="58"/>
    <x v="2"/>
    <x v="0"/>
  </r>
  <r>
    <x v="453"/>
    <n v="3"/>
    <n v="7"/>
    <n v="10"/>
    <n v="3"/>
    <n v="1"/>
    <n v="5"/>
    <n v="358"/>
    <n v="0"/>
    <n v="70"/>
    <n v="4.8"/>
    <n v="48"/>
    <n v="80"/>
    <n v="25"/>
    <n v="51"/>
    <x v="0"/>
    <x v="0"/>
  </r>
  <r>
    <x v="454"/>
    <n v="2"/>
    <n v="4"/>
    <n v="3"/>
    <n v="9"/>
    <n v="3"/>
    <n v="5"/>
    <n v="122"/>
    <n v="0"/>
    <n v="47"/>
    <n v="4.2"/>
    <n v="42"/>
    <n v="40"/>
    <n v="25"/>
    <n v="36"/>
    <x v="1"/>
    <x v="2"/>
  </r>
  <r>
    <x v="455"/>
    <n v="1"/>
    <n v="2"/>
    <n v="1"/>
    <n v="2"/>
    <n v="8"/>
    <n v="0"/>
    <n v="274"/>
    <n v="0"/>
    <n v="69"/>
    <n v="2.8"/>
    <n v="28"/>
    <n v="80"/>
    <n v="0"/>
    <n v="35"/>
    <x v="0"/>
    <x v="2"/>
  </r>
  <r>
    <x v="456"/>
    <n v="6"/>
    <n v="10"/>
    <n v="2"/>
    <n v="8"/>
    <n v="3"/>
    <n v="4"/>
    <n v="62"/>
    <n v="4"/>
    <n v="81"/>
    <n v="5.8"/>
    <n v="58"/>
    <n v="40"/>
    <n v="60"/>
    <n v="53"/>
    <x v="2"/>
    <x v="0"/>
  </r>
  <r>
    <x v="457"/>
    <n v="7"/>
    <n v="6"/>
    <n v="9"/>
    <n v="4"/>
    <n v="9"/>
    <n v="7"/>
    <n v="360"/>
    <n v="2"/>
    <n v="41"/>
    <n v="7"/>
    <n v="70"/>
    <n v="80"/>
    <n v="55"/>
    <n v="69"/>
    <x v="1"/>
    <x v="0"/>
  </r>
  <r>
    <x v="458"/>
    <n v="4"/>
    <n v="3"/>
    <n v="5"/>
    <n v="7"/>
    <n v="8"/>
    <n v="8"/>
    <n v="291"/>
    <n v="3"/>
    <n v="66"/>
    <n v="5.4"/>
    <n v="54"/>
    <n v="80"/>
    <n v="70"/>
    <n v="67"/>
    <x v="0"/>
    <x v="0"/>
  </r>
  <r>
    <x v="459"/>
    <n v="9"/>
    <n v="6"/>
    <n v="10"/>
    <n v="3"/>
    <n v="3"/>
    <n v="3"/>
    <n v="153"/>
    <n v="3"/>
    <n v="41"/>
    <n v="6.2"/>
    <n v="62"/>
    <n v="60"/>
    <n v="45"/>
    <n v="56"/>
    <x v="1"/>
    <x v="0"/>
  </r>
  <r>
    <x v="460"/>
    <n v="2"/>
    <n v="10"/>
    <n v="5"/>
    <n v="5"/>
    <n v="1"/>
    <n v="3"/>
    <n v="212"/>
    <n v="2"/>
    <n v="85"/>
    <n v="4.5999999999999996"/>
    <n v="46"/>
    <n v="60"/>
    <n v="35"/>
    <n v="47"/>
    <x v="2"/>
    <x v="0"/>
  </r>
  <r>
    <x v="461"/>
    <n v="5"/>
    <n v="1"/>
    <n v="5"/>
    <n v="9"/>
    <n v="2"/>
    <n v="3"/>
    <n v="325"/>
    <n v="4"/>
    <n v="65"/>
    <n v="4.4000000000000004"/>
    <n v="44"/>
    <n v="80"/>
    <n v="55"/>
    <n v="58"/>
    <x v="0"/>
    <x v="0"/>
  </r>
  <r>
    <x v="462"/>
    <n v="6"/>
    <n v="8"/>
    <n v="1"/>
    <n v="4"/>
    <n v="4"/>
    <n v="6"/>
    <n v="420"/>
    <n v="3"/>
    <n v="94"/>
    <n v="4.5999999999999996"/>
    <n v="46"/>
    <n v="100"/>
    <n v="60"/>
    <n v="66"/>
    <x v="2"/>
    <x v="0"/>
  </r>
  <r>
    <x v="463"/>
    <n v="1"/>
    <n v="3"/>
    <n v="7"/>
    <n v="8"/>
    <n v="7"/>
    <n v="7"/>
    <n v="98"/>
    <n v="3"/>
    <n v="65"/>
    <n v="5.2"/>
    <n v="52"/>
    <n v="40"/>
    <n v="65"/>
    <n v="52"/>
    <x v="0"/>
    <x v="0"/>
  </r>
  <r>
    <x v="464"/>
    <n v="8"/>
    <n v="5"/>
    <n v="4"/>
    <n v="1"/>
    <n v="7"/>
    <n v="8"/>
    <n v="99"/>
    <n v="2"/>
    <n v="75"/>
    <n v="5"/>
    <n v="50"/>
    <n v="40"/>
    <n v="60"/>
    <n v="50"/>
    <x v="2"/>
    <x v="0"/>
  </r>
  <r>
    <x v="465"/>
    <n v="1"/>
    <n v="4"/>
    <n v="7"/>
    <n v="7"/>
    <n v="6"/>
    <n v="8"/>
    <n v="189"/>
    <n v="4"/>
    <n v="85"/>
    <n v="5"/>
    <n v="50"/>
    <n v="60"/>
    <n v="80"/>
    <n v="62"/>
    <x v="2"/>
    <x v="0"/>
  </r>
  <r>
    <x v="466"/>
    <n v="9"/>
    <n v="9"/>
    <n v="7"/>
    <n v="5"/>
    <n v="4"/>
    <n v="2"/>
    <n v="309"/>
    <n v="3"/>
    <n v="79"/>
    <n v="6.8"/>
    <n v="68"/>
    <n v="80"/>
    <n v="40"/>
    <n v="63"/>
    <x v="2"/>
    <x v="0"/>
  </r>
  <r>
    <x v="467"/>
    <n v="8"/>
    <n v="7"/>
    <n v="3"/>
    <n v="5"/>
    <n v="1"/>
    <n v="2"/>
    <n v="368"/>
    <n v="5"/>
    <n v="85"/>
    <n v="4.8"/>
    <n v="48"/>
    <n v="80"/>
    <n v="60"/>
    <n v="61"/>
    <x v="2"/>
    <x v="0"/>
  </r>
  <r>
    <x v="468"/>
    <n v="3"/>
    <n v="2"/>
    <n v="5"/>
    <n v="2"/>
    <n v="8"/>
    <n v="5"/>
    <n v="195"/>
    <n v="3"/>
    <n v="75"/>
    <n v="4"/>
    <n v="40"/>
    <n v="60"/>
    <n v="55"/>
    <n v="51"/>
    <x v="2"/>
    <x v="0"/>
  </r>
  <r>
    <x v="469"/>
    <n v="3"/>
    <n v="1"/>
    <n v="1"/>
    <n v="5"/>
    <n v="9"/>
    <n v="0"/>
    <n v="70"/>
    <n v="1"/>
    <n v="81"/>
    <n v="3.8"/>
    <n v="38"/>
    <n v="40"/>
    <n v="10"/>
    <n v="30"/>
    <x v="2"/>
    <x v="2"/>
  </r>
  <r>
    <x v="470"/>
    <n v="1"/>
    <n v="8"/>
    <n v="7"/>
    <n v="10"/>
    <n v="9"/>
    <n v="7"/>
    <n v="495"/>
    <n v="3"/>
    <n v="43"/>
    <n v="7"/>
    <n v="70"/>
    <n v="100"/>
    <n v="65"/>
    <n v="78"/>
    <x v="1"/>
    <x v="1"/>
  </r>
  <r>
    <x v="471"/>
    <n v="1"/>
    <n v="2"/>
    <n v="1"/>
    <n v="3"/>
    <n v="9"/>
    <n v="8"/>
    <n v="480"/>
    <n v="0"/>
    <n v="40"/>
    <n v="3.2"/>
    <n v="32"/>
    <n v="100"/>
    <n v="40"/>
    <n v="55"/>
    <x v="1"/>
    <x v="0"/>
  </r>
  <r>
    <x v="472"/>
    <n v="2"/>
    <n v="7"/>
    <n v="10"/>
    <n v="7"/>
    <n v="9"/>
    <n v="5"/>
    <n v="389"/>
    <n v="0"/>
    <n v="87"/>
    <n v="7"/>
    <n v="70"/>
    <n v="80"/>
    <n v="25"/>
    <n v="60"/>
    <x v="2"/>
    <x v="0"/>
  </r>
  <r>
    <x v="473"/>
    <n v="4"/>
    <n v="9"/>
    <n v="1"/>
    <n v="7"/>
    <n v="7"/>
    <n v="7"/>
    <n v="145"/>
    <n v="4"/>
    <n v="61"/>
    <n v="5.6"/>
    <n v="56"/>
    <n v="40"/>
    <n v="75"/>
    <n v="57"/>
    <x v="0"/>
    <x v="0"/>
  </r>
  <r>
    <x v="474"/>
    <n v="7"/>
    <n v="5"/>
    <n v="10"/>
    <n v="5"/>
    <n v="4"/>
    <n v="4"/>
    <n v="434"/>
    <n v="3"/>
    <n v="54"/>
    <n v="6.2"/>
    <n v="62"/>
    <n v="100"/>
    <n v="50"/>
    <n v="70"/>
    <x v="0"/>
    <x v="0"/>
  </r>
  <r>
    <x v="475"/>
    <n v="9"/>
    <n v="1"/>
    <n v="6"/>
    <n v="4"/>
    <n v="1"/>
    <n v="6"/>
    <n v="347"/>
    <n v="3"/>
    <n v="45"/>
    <n v="4.2"/>
    <n v="42"/>
    <n v="80"/>
    <n v="60"/>
    <n v="59"/>
    <x v="1"/>
    <x v="0"/>
  </r>
  <r>
    <x v="476"/>
    <n v="9"/>
    <n v="4"/>
    <n v="6"/>
    <n v="3"/>
    <n v="7"/>
    <n v="7"/>
    <n v="125"/>
    <n v="1"/>
    <n v="80"/>
    <n v="5.8"/>
    <n v="58"/>
    <n v="40"/>
    <n v="45"/>
    <n v="49"/>
    <x v="2"/>
    <x v="0"/>
  </r>
  <r>
    <x v="477"/>
    <n v="1"/>
    <n v="7"/>
    <n v="9"/>
    <n v="4"/>
    <n v="3"/>
    <n v="8"/>
    <n v="254"/>
    <n v="2"/>
    <n v="78"/>
    <n v="4.8"/>
    <n v="48"/>
    <n v="80"/>
    <n v="60"/>
    <n v="61"/>
    <x v="2"/>
    <x v="0"/>
  </r>
  <r>
    <x v="478"/>
    <n v="3"/>
    <n v="3"/>
    <n v="10"/>
    <n v="1"/>
    <n v="7"/>
    <n v="8"/>
    <n v="397"/>
    <n v="5"/>
    <n v="49"/>
    <n v="4.8"/>
    <n v="48"/>
    <n v="80"/>
    <n v="90"/>
    <n v="70"/>
    <x v="1"/>
    <x v="0"/>
  </r>
  <r>
    <x v="479"/>
    <n v="4"/>
    <n v="3"/>
    <n v="1"/>
    <n v="6"/>
    <n v="7"/>
    <n v="3"/>
    <n v="307"/>
    <n v="0"/>
    <n v="40"/>
    <n v="4.2"/>
    <n v="42"/>
    <n v="80"/>
    <n v="15"/>
    <n v="45"/>
    <x v="1"/>
    <x v="0"/>
  </r>
  <r>
    <x v="480"/>
    <n v="5"/>
    <n v="10"/>
    <n v="7"/>
    <n v="8"/>
    <n v="5"/>
    <n v="5"/>
    <n v="192"/>
    <n v="5"/>
    <n v="60"/>
    <n v="7"/>
    <n v="70"/>
    <n v="60"/>
    <n v="75"/>
    <n v="69"/>
    <x v="0"/>
    <x v="0"/>
  </r>
  <r>
    <x v="481"/>
    <n v="1"/>
    <n v="5"/>
    <n v="8"/>
    <n v="6"/>
    <n v="8"/>
    <n v="4"/>
    <n v="249"/>
    <n v="0"/>
    <n v="70"/>
    <n v="5.6"/>
    <n v="56"/>
    <n v="60"/>
    <n v="20"/>
    <n v="46"/>
    <x v="0"/>
    <x v="0"/>
  </r>
  <r>
    <x v="482"/>
    <n v="7"/>
    <n v="8"/>
    <n v="10"/>
    <n v="1"/>
    <n v="3"/>
    <n v="1"/>
    <n v="190"/>
    <n v="2"/>
    <n v="93"/>
    <n v="5.8"/>
    <n v="58"/>
    <n v="60"/>
    <n v="25"/>
    <n v="49"/>
    <x v="2"/>
    <x v="0"/>
  </r>
  <r>
    <x v="483"/>
    <n v="2"/>
    <n v="3"/>
    <n v="7"/>
    <n v="5"/>
    <n v="10"/>
    <n v="2"/>
    <n v="379"/>
    <n v="5"/>
    <n v="56"/>
    <n v="5.4"/>
    <n v="54"/>
    <n v="80"/>
    <n v="60"/>
    <n v="64"/>
    <x v="0"/>
    <x v="0"/>
  </r>
  <r>
    <x v="484"/>
    <n v="6"/>
    <n v="1"/>
    <n v="9"/>
    <n v="1"/>
    <n v="9"/>
    <n v="5"/>
    <n v="475"/>
    <n v="5"/>
    <n v="55"/>
    <n v="5.2"/>
    <n v="52"/>
    <n v="100"/>
    <n v="75"/>
    <n v="73"/>
    <x v="0"/>
    <x v="1"/>
  </r>
  <r>
    <x v="485"/>
    <n v="2"/>
    <n v="2"/>
    <n v="1"/>
    <n v="9"/>
    <n v="5"/>
    <n v="5"/>
    <n v="328"/>
    <n v="2"/>
    <n v="55"/>
    <n v="3.8"/>
    <n v="38"/>
    <n v="80"/>
    <n v="45"/>
    <n v="53"/>
    <x v="0"/>
    <x v="0"/>
  </r>
  <r>
    <x v="486"/>
    <n v="4"/>
    <n v="5"/>
    <n v="9"/>
    <n v="6"/>
    <n v="1"/>
    <n v="0"/>
    <n v="196"/>
    <n v="5"/>
    <n v="42"/>
    <n v="5"/>
    <n v="50"/>
    <n v="60"/>
    <n v="50"/>
    <n v="53"/>
    <x v="1"/>
    <x v="0"/>
  </r>
  <r>
    <x v="487"/>
    <n v="4"/>
    <n v="8"/>
    <n v="7"/>
    <n v="4"/>
    <n v="5"/>
    <n v="2"/>
    <n v="489"/>
    <n v="0"/>
    <n v="67"/>
    <n v="5.6"/>
    <n v="56"/>
    <n v="100"/>
    <n v="10"/>
    <n v="55"/>
    <x v="0"/>
    <x v="0"/>
  </r>
  <r>
    <x v="488"/>
    <n v="10"/>
    <n v="5"/>
    <n v="4"/>
    <n v="10"/>
    <n v="10"/>
    <n v="8"/>
    <n v="154"/>
    <n v="2"/>
    <n v="95"/>
    <n v="7.8"/>
    <n v="78"/>
    <n v="60"/>
    <n v="60"/>
    <n v="67"/>
    <x v="2"/>
    <x v="0"/>
  </r>
  <r>
    <x v="489"/>
    <n v="4"/>
    <n v="8"/>
    <n v="9"/>
    <n v="4"/>
    <n v="2"/>
    <n v="5"/>
    <n v="226"/>
    <n v="2"/>
    <n v="82"/>
    <n v="5.4"/>
    <n v="54"/>
    <n v="60"/>
    <n v="45"/>
    <n v="53"/>
    <x v="2"/>
    <x v="0"/>
  </r>
  <r>
    <x v="490"/>
    <n v="2"/>
    <n v="10"/>
    <n v="3"/>
    <n v="5"/>
    <n v="2"/>
    <n v="3"/>
    <n v="356"/>
    <n v="5"/>
    <n v="67"/>
    <n v="4.4000000000000004"/>
    <n v="44"/>
    <n v="80"/>
    <n v="65"/>
    <n v="61"/>
    <x v="0"/>
    <x v="0"/>
  </r>
  <r>
    <x v="491"/>
    <n v="3"/>
    <n v="2"/>
    <n v="9"/>
    <n v="9"/>
    <n v="3"/>
    <n v="3"/>
    <n v="104"/>
    <n v="1"/>
    <n v="68"/>
    <n v="5.2"/>
    <n v="52"/>
    <n v="40"/>
    <n v="25"/>
    <n v="40"/>
    <x v="0"/>
    <x v="0"/>
  </r>
  <r>
    <x v="492"/>
    <n v="5"/>
    <n v="9"/>
    <n v="8"/>
    <n v="4"/>
    <n v="6"/>
    <n v="6"/>
    <n v="304"/>
    <n v="4"/>
    <n v="81"/>
    <n v="6.4"/>
    <n v="64"/>
    <n v="80"/>
    <n v="70"/>
    <n v="71"/>
    <x v="2"/>
    <x v="1"/>
  </r>
  <r>
    <x v="493"/>
    <n v="8"/>
    <n v="7"/>
    <n v="6"/>
    <n v="4"/>
    <n v="6"/>
    <n v="7"/>
    <n v="499"/>
    <n v="2"/>
    <n v="57"/>
    <n v="6.2"/>
    <n v="62"/>
    <n v="100"/>
    <n v="55"/>
    <n v="71"/>
    <x v="0"/>
    <x v="1"/>
  </r>
  <r>
    <x v="494"/>
    <n v="1"/>
    <n v="2"/>
    <n v="1"/>
    <n v="4"/>
    <n v="9"/>
    <n v="5"/>
    <n v="435"/>
    <n v="2"/>
    <n v="92"/>
    <n v="3.4"/>
    <n v="34"/>
    <n v="100"/>
    <n v="45"/>
    <n v="57"/>
    <x v="2"/>
    <x v="0"/>
  </r>
  <r>
    <x v="495"/>
    <n v="3"/>
    <n v="3"/>
    <n v="6"/>
    <n v="5"/>
    <n v="3"/>
    <n v="5"/>
    <n v="56"/>
    <n v="2"/>
    <n v="57"/>
    <n v="4"/>
    <n v="40"/>
    <n v="40"/>
    <n v="45"/>
    <n v="42"/>
    <x v="0"/>
    <x v="0"/>
  </r>
  <r>
    <x v="496"/>
    <n v="5"/>
    <n v="4"/>
    <n v="4"/>
    <n v="4"/>
    <n v="10"/>
    <n v="8"/>
    <n v="366"/>
    <n v="1"/>
    <n v="45"/>
    <n v="5.4"/>
    <n v="54"/>
    <n v="80"/>
    <n v="50"/>
    <n v="61"/>
    <x v="1"/>
    <x v="0"/>
  </r>
  <r>
    <x v="497"/>
    <n v="9"/>
    <n v="7"/>
    <n v="4"/>
    <n v="2"/>
    <n v="8"/>
    <n v="8"/>
    <n v="464"/>
    <n v="2"/>
    <n v="55"/>
    <n v="6"/>
    <n v="60"/>
    <n v="100"/>
    <n v="60"/>
    <n v="72"/>
    <x v="0"/>
    <x v="1"/>
  </r>
  <r>
    <x v="498"/>
    <n v="4"/>
    <n v="2"/>
    <n v="6"/>
    <n v="9"/>
    <n v="4"/>
    <n v="3"/>
    <n v="477"/>
    <n v="5"/>
    <n v="79"/>
    <n v="5"/>
    <n v="50"/>
    <n v="100"/>
    <n v="65"/>
    <n v="70"/>
    <x v="2"/>
    <x v="0"/>
  </r>
  <r>
    <x v="499"/>
    <n v="4"/>
    <n v="5"/>
    <n v="5"/>
    <n v="7"/>
    <n v="5"/>
    <n v="5"/>
    <n v="132"/>
    <n v="1"/>
    <n v="80"/>
    <n v="5.2"/>
    <n v="52"/>
    <n v="40"/>
    <n v="35"/>
    <n v="43"/>
    <x v="2"/>
    <x v="0"/>
  </r>
  <r>
    <x v="500"/>
    <n v="2"/>
    <n v="7"/>
    <n v="10"/>
    <n v="9"/>
    <n v="6"/>
    <n v="0"/>
    <n v="417"/>
    <n v="3"/>
    <n v="71"/>
    <n v="6.8"/>
    <n v="68"/>
    <n v="100"/>
    <n v="30"/>
    <n v="66"/>
    <x v="0"/>
    <x v="0"/>
  </r>
  <r>
    <x v="501"/>
    <n v="1"/>
    <n v="4"/>
    <n v="4"/>
    <n v="9"/>
    <n v="4"/>
    <n v="1"/>
    <n v="360"/>
    <n v="3"/>
    <n v="93"/>
    <n v="4.4000000000000004"/>
    <n v="44"/>
    <n v="80"/>
    <n v="35"/>
    <n v="52"/>
    <x v="2"/>
    <x v="0"/>
  </r>
  <r>
    <x v="502"/>
    <n v="4"/>
    <n v="3"/>
    <n v="8"/>
    <n v="8"/>
    <n v="7"/>
    <n v="5"/>
    <n v="87"/>
    <n v="0"/>
    <n v="76"/>
    <n v="6"/>
    <n v="60"/>
    <n v="40"/>
    <n v="25"/>
    <n v="44"/>
    <x v="2"/>
    <x v="0"/>
  </r>
  <r>
    <x v="503"/>
    <n v="3"/>
    <n v="3"/>
    <n v="9"/>
    <n v="1"/>
    <n v="3"/>
    <n v="7"/>
    <n v="76"/>
    <n v="2"/>
    <n v="78"/>
    <n v="3.8"/>
    <n v="38"/>
    <n v="40"/>
    <n v="55"/>
    <n v="44"/>
    <x v="2"/>
    <x v="0"/>
  </r>
  <r>
    <x v="504"/>
    <n v="8"/>
    <n v="5"/>
    <n v="2"/>
    <n v="7"/>
    <n v="2"/>
    <n v="5"/>
    <n v="487"/>
    <n v="4"/>
    <n v="94"/>
    <n v="4.8"/>
    <n v="48"/>
    <n v="100"/>
    <n v="65"/>
    <n v="69"/>
    <x v="2"/>
    <x v="0"/>
  </r>
  <r>
    <x v="505"/>
    <n v="4"/>
    <n v="5"/>
    <n v="5"/>
    <n v="5"/>
    <n v="1"/>
    <n v="5"/>
    <n v="60"/>
    <n v="3"/>
    <n v="42"/>
    <n v="4"/>
    <n v="40"/>
    <n v="40"/>
    <n v="55"/>
    <n v="45"/>
    <x v="1"/>
    <x v="0"/>
  </r>
  <r>
    <x v="506"/>
    <n v="2"/>
    <n v="7"/>
    <n v="5"/>
    <n v="9"/>
    <n v="9"/>
    <n v="0"/>
    <n v="315"/>
    <n v="4"/>
    <n v="94"/>
    <n v="6.4"/>
    <n v="64"/>
    <n v="80"/>
    <n v="40"/>
    <n v="62"/>
    <x v="2"/>
    <x v="0"/>
  </r>
  <r>
    <x v="507"/>
    <n v="9"/>
    <n v="7"/>
    <n v="6"/>
    <n v="5"/>
    <n v="8"/>
    <n v="8"/>
    <n v="269"/>
    <n v="1"/>
    <n v="58"/>
    <n v="7"/>
    <n v="70"/>
    <n v="80"/>
    <n v="50"/>
    <n v="67"/>
    <x v="0"/>
    <x v="0"/>
  </r>
  <r>
    <x v="508"/>
    <n v="7"/>
    <n v="6"/>
    <n v="5"/>
    <n v="9"/>
    <n v="7"/>
    <n v="3"/>
    <n v="351"/>
    <n v="1"/>
    <n v="44"/>
    <n v="6.8"/>
    <n v="68"/>
    <n v="80"/>
    <n v="25"/>
    <n v="59"/>
    <x v="1"/>
    <x v="0"/>
  </r>
  <r>
    <x v="509"/>
    <n v="3"/>
    <n v="6"/>
    <n v="10"/>
    <n v="2"/>
    <n v="7"/>
    <n v="8"/>
    <n v="233"/>
    <n v="2"/>
    <n v="92"/>
    <n v="5.6"/>
    <n v="56"/>
    <n v="60"/>
    <n v="60"/>
    <n v="58"/>
    <x v="2"/>
    <x v="0"/>
  </r>
  <r>
    <x v="510"/>
    <n v="10"/>
    <n v="8"/>
    <n v="2"/>
    <n v="10"/>
    <n v="4"/>
    <n v="1"/>
    <n v="185"/>
    <n v="2"/>
    <n v="95"/>
    <n v="6.8"/>
    <n v="68"/>
    <n v="60"/>
    <n v="25"/>
    <n v="53"/>
    <x v="2"/>
    <x v="0"/>
  </r>
  <r>
    <x v="511"/>
    <n v="6"/>
    <n v="8"/>
    <n v="9"/>
    <n v="1"/>
    <n v="3"/>
    <n v="8"/>
    <n v="128"/>
    <n v="0"/>
    <n v="86"/>
    <n v="5.4"/>
    <n v="54"/>
    <n v="40"/>
    <n v="40"/>
    <n v="46"/>
    <x v="2"/>
    <x v="0"/>
  </r>
  <r>
    <x v="512"/>
    <n v="9"/>
    <n v="5"/>
    <n v="6"/>
    <n v="9"/>
    <n v="7"/>
    <n v="5"/>
    <n v="280"/>
    <n v="5"/>
    <n v="50"/>
    <n v="7.2"/>
    <n v="72"/>
    <n v="80"/>
    <n v="75"/>
    <n v="75"/>
    <x v="0"/>
    <x v="1"/>
  </r>
  <r>
    <x v="513"/>
    <n v="6"/>
    <n v="4"/>
    <n v="9"/>
    <n v="2"/>
    <n v="2"/>
    <n v="1"/>
    <n v="220"/>
    <n v="5"/>
    <n v="74"/>
    <n v="4.5999999999999996"/>
    <n v="46"/>
    <n v="60"/>
    <n v="55"/>
    <n v="53"/>
    <x v="0"/>
    <x v="0"/>
  </r>
  <r>
    <x v="514"/>
    <n v="8"/>
    <n v="4"/>
    <n v="8"/>
    <n v="5"/>
    <n v="10"/>
    <n v="1"/>
    <n v="465"/>
    <n v="2"/>
    <n v="62"/>
    <n v="7"/>
    <n v="70"/>
    <n v="100"/>
    <n v="25"/>
    <n v="66"/>
    <x v="0"/>
    <x v="0"/>
  </r>
  <r>
    <x v="515"/>
    <n v="7"/>
    <n v="1"/>
    <n v="10"/>
    <n v="6"/>
    <n v="4"/>
    <n v="8"/>
    <n v="440"/>
    <n v="3"/>
    <n v="92"/>
    <n v="5.6"/>
    <n v="56"/>
    <n v="100"/>
    <n v="70"/>
    <n v="73"/>
    <x v="2"/>
    <x v="1"/>
  </r>
  <r>
    <x v="516"/>
    <n v="2"/>
    <n v="1"/>
    <n v="3"/>
    <n v="5"/>
    <n v="6"/>
    <n v="5"/>
    <n v="369"/>
    <n v="0"/>
    <n v="63"/>
    <n v="3.4"/>
    <n v="34"/>
    <n v="80"/>
    <n v="25"/>
    <n v="45"/>
    <x v="0"/>
    <x v="0"/>
  </r>
  <r>
    <x v="517"/>
    <n v="8"/>
    <n v="8"/>
    <n v="7"/>
    <n v="3"/>
    <n v="7"/>
    <n v="5"/>
    <n v="452"/>
    <n v="1"/>
    <n v="54"/>
    <n v="6.6"/>
    <n v="66"/>
    <n v="100"/>
    <n v="35"/>
    <n v="67"/>
    <x v="0"/>
    <x v="0"/>
  </r>
  <r>
    <x v="518"/>
    <n v="8"/>
    <n v="10"/>
    <n v="2"/>
    <n v="4"/>
    <n v="6"/>
    <n v="0"/>
    <n v="349"/>
    <n v="2"/>
    <n v="61"/>
    <n v="6"/>
    <n v="60"/>
    <n v="80"/>
    <n v="20"/>
    <n v="54"/>
    <x v="0"/>
    <x v="0"/>
  </r>
  <r>
    <x v="519"/>
    <n v="2"/>
    <n v="10"/>
    <n v="10"/>
    <n v="4"/>
    <n v="4"/>
    <n v="4"/>
    <n v="390"/>
    <n v="2"/>
    <n v="69"/>
    <n v="6"/>
    <n v="60"/>
    <n v="80"/>
    <n v="40"/>
    <n v="60"/>
    <x v="0"/>
    <x v="0"/>
  </r>
  <r>
    <x v="520"/>
    <n v="9"/>
    <n v="8"/>
    <n v="4"/>
    <n v="10"/>
    <n v="3"/>
    <n v="1"/>
    <n v="368"/>
    <n v="1"/>
    <n v="74"/>
    <n v="6.8"/>
    <n v="68"/>
    <n v="80"/>
    <n v="15"/>
    <n v="56"/>
    <x v="0"/>
    <x v="0"/>
  </r>
  <r>
    <x v="521"/>
    <n v="5"/>
    <n v="5"/>
    <n v="6"/>
    <n v="7"/>
    <n v="2"/>
    <n v="4"/>
    <n v="356"/>
    <n v="5"/>
    <n v="75"/>
    <n v="5"/>
    <n v="50"/>
    <n v="80"/>
    <n v="70"/>
    <n v="65"/>
    <x v="2"/>
    <x v="0"/>
  </r>
  <r>
    <x v="522"/>
    <n v="3"/>
    <n v="1"/>
    <n v="9"/>
    <n v="5"/>
    <n v="3"/>
    <n v="0"/>
    <n v="111"/>
    <n v="5"/>
    <n v="83"/>
    <n v="4.2"/>
    <n v="42"/>
    <n v="40"/>
    <n v="50"/>
    <n v="44"/>
    <x v="2"/>
    <x v="0"/>
  </r>
  <r>
    <x v="523"/>
    <n v="4"/>
    <n v="3"/>
    <n v="6"/>
    <n v="9"/>
    <n v="8"/>
    <n v="2"/>
    <n v="298"/>
    <n v="4"/>
    <n v="93"/>
    <n v="6"/>
    <n v="60"/>
    <n v="80"/>
    <n v="50"/>
    <n v="63"/>
    <x v="2"/>
    <x v="0"/>
  </r>
  <r>
    <x v="524"/>
    <n v="3"/>
    <n v="7"/>
    <n v="4"/>
    <n v="10"/>
    <n v="3"/>
    <n v="7"/>
    <n v="208"/>
    <n v="3"/>
    <n v="73"/>
    <n v="5.4"/>
    <n v="54"/>
    <n v="60"/>
    <n v="65"/>
    <n v="59"/>
    <x v="0"/>
    <x v="0"/>
  </r>
  <r>
    <x v="525"/>
    <n v="8"/>
    <n v="5"/>
    <n v="5"/>
    <n v="1"/>
    <n v="1"/>
    <n v="2"/>
    <n v="256"/>
    <n v="5"/>
    <n v="66"/>
    <n v="4"/>
    <n v="40"/>
    <n v="80"/>
    <n v="60"/>
    <n v="58"/>
    <x v="0"/>
    <x v="0"/>
  </r>
  <r>
    <x v="526"/>
    <n v="2"/>
    <n v="4"/>
    <n v="2"/>
    <n v="7"/>
    <n v="8"/>
    <n v="1"/>
    <n v="133"/>
    <n v="3"/>
    <n v="85"/>
    <n v="4.5999999999999996"/>
    <n v="46"/>
    <n v="40"/>
    <n v="35"/>
    <n v="41"/>
    <x v="2"/>
    <x v="0"/>
  </r>
  <r>
    <x v="527"/>
    <n v="9"/>
    <n v="8"/>
    <n v="4"/>
    <n v="2"/>
    <n v="5"/>
    <n v="2"/>
    <n v="114"/>
    <n v="0"/>
    <n v="81"/>
    <n v="5.6"/>
    <n v="56"/>
    <n v="40"/>
    <n v="10"/>
    <n v="37"/>
    <x v="2"/>
    <x v="2"/>
  </r>
  <r>
    <x v="528"/>
    <n v="5"/>
    <n v="4"/>
    <n v="8"/>
    <n v="8"/>
    <n v="4"/>
    <n v="1"/>
    <n v="464"/>
    <n v="0"/>
    <n v="82"/>
    <n v="5.8"/>
    <n v="58"/>
    <n v="100"/>
    <n v="5"/>
    <n v="55"/>
    <x v="2"/>
    <x v="0"/>
  </r>
  <r>
    <x v="529"/>
    <n v="6"/>
    <n v="8"/>
    <n v="7"/>
    <n v="3"/>
    <n v="3"/>
    <n v="8"/>
    <n v="55"/>
    <n v="0"/>
    <n v="47"/>
    <n v="5.4"/>
    <n v="54"/>
    <n v="40"/>
    <n v="40"/>
    <n v="46"/>
    <x v="1"/>
    <x v="0"/>
  </r>
  <r>
    <x v="530"/>
    <n v="8"/>
    <n v="1"/>
    <n v="1"/>
    <n v="1"/>
    <n v="2"/>
    <n v="2"/>
    <n v="354"/>
    <n v="4"/>
    <n v="48"/>
    <n v="2.6"/>
    <n v="26"/>
    <n v="80"/>
    <n v="50"/>
    <n v="49"/>
    <x v="1"/>
    <x v="0"/>
  </r>
  <r>
    <x v="531"/>
    <n v="10"/>
    <n v="5"/>
    <n v="6"/>
    <n v="9"/>
    <n v="1"/>
    <n v="2"/>
    <n v="430"/>
    <n v="5"/>
    <n v="87"/>
    <n v="6.2"/>
    <n v="62"/>
    <n v="100"/>
    <n v="60"/>
    <n v="73"/>
    <x v="2"/>
    <x v="1"/>
  </r>
  <r>
    <x v="532"/>
    <n v="3"/>
    <n v="6"/>
    <n v="4"/>
    <n v="5"/>
    <n v="10"/>
    <n v="3"/>
    <n v="443"/>
    <n v="5"/>
    <n v="93"/>
    <n v="5.6"/>
    <n v="56"/>
    <n v="100"/>
    <n v="65"/>
    <n v="72"/>
    <x v="2"/>
    <x v="1"/>
  </r>
  <r>
    <x v="533"/>
    <n v="5"/>
    <n v="7"/>
    <n v="10"/>
    <n v="2"/>
    <n v="4"/>
    <n v="3"/>
    <n v="498"/>
    <n v="2"/>
    <n v="61"/>
    <n v="5.6"/>
    <n v="56"/>
    <n v="100"/>
    <n v="35"/>
    <n v="63"/>
    <x v="0"/>
    <x v="0"/>
  </r>
  <r>
    <x v="534"/>
    <n v="9"/>
    <n v="2"/>
    <n v="2"/>
    <n v="1"/>
    <n v="1"/>
    <n v="5"/>
    <n v="457"/>
    <n v="5"/>
    <n v="93"/>
    <n v="3"/>
    <n v="30"/>
    <n v="100"/>
    <n v="75"/>
    <n v="65"/>
    <x v="2"/>
    <x v="0"/>
  </r>
  <r>
    <x v="535"/>
    <n v="3"/>
    <n v="7"/>
    <n v="5"/>
    <n v="5"/>
    <n v="7"/>
    <n v="6"/>
    <n v="386"/>
    <n v="2"/>
    <n v="95"/>
    <n v="5.4"/>
    <n v="54"/>
    <n v="80"/>
    <n v="50"/>
    <n v="61"/>
    <x v="2"/>
    <x v="0"/>
  </r>
  <r>
    <x v="536"/>
    <n v="2"/>
    <n v="7"/>
    <n v="10"/>
    <n v="2"/>
    <n v="9"/>
    <n v="2"/>
    <n v="421"/>
    <n v="2"/>
    <n v="56"/>
    <n v="6"/>
    <n v="60"/>
    <n v="100"/>
    <n v="30"/>
    <n v="63"/>
    <x v="0"/>
    <x v="0"/>
  </r>
  <r>
    <x v="537"/>
    <n v="6"/>
    <n v="1"/>
    <n v="3"/>
    <n v="10"/>
    <n v="3"/>
    <n v="5"/>
    <n v="245"/>
    <n v="4"/>
    <n v="41"/>
    <n v="4.5999999999999996"/>
    <n v="46"/>
    <n v="60"/>
    <n v="65"/>
    <n v="56"/>
    <x v="1"/>
    <x v="0"/>
  </r>
  <r>
    <x v="538"/>
    <n v="3"/>
    <n v="8"/>
    <n v="1"/>
    <n v="1"/>
    <n v="10"/>
    <n v="3"/>
    <n v="249"/>
    <n v="2"/>
    <n v="41"/>
    <n v="4.5999999999999996"/>
    <n v="46"/>
    <n v="60"/>
    <n v="35"/>
    <n v="47"/>
    <x v="1"/>
    <x v="0"/>
  </r>
  <r>
    <x v="539"/>
    <n v="8"/>
    <n v="1"/>
    <n v="9"/>
    <n v="1"/>
    <n v="9"/>
    <n v="6"/>
    <n v="331"/>
    <n v="3"/>
    <n v="92"/>
    <n v="5.6"/>
    <n v="56"/>
    <n v="80"/>
    <n v="60"/>
    <n v="64"/>
    <x v="2"/>
    <x v="0"/>
  </r>
  <r>
    <x v="540"/>
    <n v="10"/>
    <n v="8"/>
    <n v="6"/>
    <n v="10"/>
    <n v="8"/>
    <n v="5"/>
    <n v="227"/>
    <n v="0"/>
    <n v="83"/>
    <n v="8.4"/>
    <n v="84"/>
    <n v="60"/>
    <n v="25"/>
    <n v="59"/>
    <x v="2"/>
    <x v="0"/>
  </r>
  <r>
    <x v="541"/>
    <n v="8"/>
    <n v="9"/>
    <n v="10"/>
    <n v="3"/>
    <n v="4"/>
    <n v="7"/>
    <n v="199"/>
    <n v="2"/>
    <n v="57"/>
    <n v="6.8"/>
    <n v="68"/>
    <n v="60"/>
    <n v="55"/>
    <n v="62"/>
    <x v="0"/>
    <x v="0"/>
  </r>
  <r>
    <x v="542"/>
    <n v="2"/>
    <n v="9"/>
    <n v="1"/>
    <n v="1"/>
    <n v="7"/>
    <n v="6"/>
    <n v="309"/>
    <n v="2"/>
    <n v="56"/>
    <n v="4"/>
    <n v="40"/>
    <n v="80"/>
    <n v="50"/>
    <n v="55"/>
    <x v="0"/>
    <x v="0"/>
  </r>
  <r>
    <x v="543"/>
    <n v="5"/>
    <n v="2"/>
    <n v="3"/>
    <n v="9"/>
    <n v="7"/>
    <n v="8"/>
    <n v="171"/>
    <n v="5"/>
    <n v="53"/>
    <n v="5.2"/>
    <n v="52"/>
    <n v="60"/>
    <n v="90"/>
    <n v="66"/>
    <x v="0"/>
    <x v="0"/>
  </r>
  <r>
    <x v="544"/>
    <n v="9"/>
    <n v="1"/>
    <n v="2"/>
    <n v="7"/>
    <n v="9"/>
    <n v="3"/>
    <n v="345"/>
    <n v="4"/>
    <n v="66"/>
    <n v="5.6"/>
    <n v="56"/>
    <n v="80"/>
    <n v="55"/>
    <n v="63"/>
    <x v="0"/>
    <x v="0"/>
  </r>
  <r>
    <x v="545"/>
    <n v="6"/>
    <n v="9"/>
    <n v="8"/>
    <n v="4"/>
    <n v="1"/>
    <n v="3"/>
    <n v="177"/>
    <n v="5"/>
    <n v="62"/>
    <n v="5.6"/>
    <n v="56"/>
    <n v="60"/>
    <n v="65"/>
    <n v="60"/>
    <x v="0"/>
    <x v="0"/>
  </r>
  <r>
    <x v="546"/>
    <n v="1"/>
    <n v="8"/>
    <n v="10"/>
    <n v="2"/>
    <n v="10"/>
    <n v="3"/>
    <n v="254"/>
    <n v="5"/>
    <n v="68"/>
    <n v="6.2"/>
    <n v="62"/>
    <n v="80"/>
    <n v="65"/>
    <n v="68"/>
    <x v="0"/>
    <x v="0"/>
  </r>
  <r>
    <x v="547"/>
    <n v="4"/>
    <n v="9"/>
    <n v="7"/>
    <n v="6"/>
    <n v="5"/>
    <n v="7"/>
    <n v="287"/>
    <n v="4"/>
    <n v="75"/>
    <n v="6.2"/>
    <n v="62"/>
    <n v="80"/>
    <n v="75"/>
    <n v="71"/>
    <x v="2"/>
    <x v="1"/>
  </r>
  <r>
    <x v="548"/>
    <n v="10"/>
    <n v="8"/>
    <n v="3"/>
    <n v="6"/>
    <n v="9"/>
    <n v="3"/>
    <n v="105"/>
    <n v="2"/>
    <n v="42"/>
    <n v="7.2"/>
    <n v="72"/>
    <n v="40"/>
    <n v="35"/>
    <n v="51"/>
    <x v="1"/>
    <x v="0"/>
  </r>
  <r>
    <x v="549"/>
    <n v="3"/>
    <n v="7"/>
    <n v="5"/>
    <n v="1"/>
    <n v="9"/>
    <n v="7"/>
    <n v="266"/>
    <n v="1"/>
    <n v="44"/>
    <n v="5"/>
    <n v="50"/>
    <n v="80"/>
    <n v="45"/>
    <n v="58"/>
    <x v="1"/>
    <x v="0"/>
  </r>
  <r>
    <x v="550"/>
    <n v="9"/>
    <n v="6"/>
    <n v="9"/>
    <n v="5"/>
    <n v="6"/>
    <n v="3"/>
    <n v="467"/>
    <n v="0"/>
    <n v="77"/>
    <n v="7"/>
    <n v="70"/>
    <n v="100"/>
    <n v="15"/>
    <n v="63"/>
    <x v="2"/>
    <x v="0"/>
  </r>
  <r>
    <x v="551"/>
    <n v="9"/>
    <n v="1"/>
    <n v="1"/>
    <n v="3"/>
    <n v="7"/>
    <n v="0"/>
    <n v="131"/>
    <n v="4"/>
    <n v="67"/>
    <n v="4.2"/>
    <n v="42"/>
    <n v="40"/>
    <n v="40"/>
    <n v="41"/>
    <x v="0"/>
    <x v="0"/>
  </r>
  <r>
    <x v="552"/>
    <n v="1"/>
    <n v="4"/>
    <n v="2"/>
    <n v="9"/>
    <n v="4"/>
    <n v="1"/>
    <n v="297"/>
    <n v="5"/>
    <n v="42"/>
    <n v="4"/>
    <n v="40"/>
    <n v="80"/>
    <n v="55"/>
    <n v="57"/>
    <x v="1"/>
    <x v="0"/>
  </r>
  <r>
    <x v="553"/>
    <n v="3"/>
    <n v="6"/>
    <n v="6"/>
    <n v="2"/>
    <n v="6"/>
    <n v="3"/>
    <n v="304"/>
    <n v="2"/>
    <n v="53"/>
    <n v="4.5999999999999996"/>
    <n v="46"/>
    <n v="80"/>
    <n v="35"/>
    <n v="53"/>
    <x v="0"/>
    <x v="0"/>
  </r>
  <r>
    <x v="554"/>
    <n v="9"/>
    <n v="9"/>
    <n v="10"/>
    <n v="6"/>
    <n v="3"/>
    <n v="4"/>
    <n v="416"/>
    <n v="1"/>
    <n v="87"/>
    <n v="7.4"/>
    <n v="74"/>
    <n v="100"/>
    <n v="30"/>
    <n v="69"/>
    <x v="2"/>
    <x v="0"/>
  </r>
  <r>
    <x v="555"/>
    <n v="8"/>
    <n v="6"/>
    <n v="3"/>
    <n v="9"/>
    <n v="1"/>
    <n v="8"/>
    <n v="249"/>
    <n v="1"/>
    <n v="75"/>
    <n v="5.4"/>
    <n v="54"/>
    <n v="60"/>
    <n v="50"/>
    <n v="55"/>
    <x v="2"/>
    <x v="0"/>
  </r>
  <r>
    <x v="556"/>
    <n v="10"/>
    <n v="10"/>
    <n v="7"/>
    <n v="9"/>
    <n v="10"/>
    <n v="0"/>
    <n v="375"/>
    <n v="2"/>
    <n v="65"/>
    <n v="9.1999999999999993"/>
    <n v="92"/>
    <n v="80"/>
    <n v="20"/>
    <n v="67"/>
    <x v="0"/>
    <x v="0"/>
  </r>
  <r>
    <x v="557"/>
    <n v="10"/>
    <n v="4"/>
    <n v="7"/>
    <n v="8"/>
    <n v="9"/>
    <n v="1"/>
    <n v="243"/>
    <n v="1"/>
    <n v="67"/>
    <n v="7.6"/>
    <n v="76"/>
    <n v="60"/>
    <n v="15"/>
    <n v="53"/>
    <x v="0"/>
    <x v="0"/>
  </r>
  <r>
    <x v="558"/>
    <n v="1"/>
    <n v="10"/>
    <n v="5"/>
    <n v="2"/>
    <n v="8"/>
    <n v="1"/>
    <n v="479"/>
    <n v="2"/>
    <n v="47"/>
    <n v="5.2"/>
    <n v="52"/>
    <n v="100"/>
    <n v="25"/>
    <n v="58"/>
    <x v="1"/>
    <x v="0"/>
  </r>
  <r>
    <x v="559"/>
    <n v="6"/>
    <n v="3"/>
    <n v="5"/>
    <n v="10"/>
    <n v="7"/>
    <n v="1"/>
    <n v="324"/>
    <n v="4"/>
    <n v="57"/>
    <n v="6.2"/>
    <n v="62"/>
    <n v="80"/>
    <n v="45"/>
    <n v="62"/>
    <x v="0"/>
    <x v="0"/>
  </r>
  <r>
    <x v="560"/>
    <n v="4"/>
    <n v="7"/>
    <n v="3"/>
    <n v="2"/>
    <n v="7"/>
    <n v="5"/>
    <n v="160"/>
    <n v="5"/>
    <n v="66"/>
    <n v="4.5999999999999996"/>
    <n v="46"/>
    <n v="60"/>
    <n v="75"/>
    <n v="59"/>
    <x v="0"/>
    <x v="0"/>
  </r>
  <r>
    <x v="561"/>
    <n v="3"/>
    <n v="5"/>
    <n v="10"/>
    <n v="8"/>
    <n v="4"/>
    <n v="2"/>
    <n v="419"/>
    <n v="1"/>
    <n v="93"/>
    <n v="6"/>
    <n v="60"/>
    <n v="100"/>
    <n v="20"/>
    <n v="60"/>
    <x v="2"/>
    <x v="0"/>
  </r>
  <r>
    <x v="562"/>
    <n v="3"/>
    <n v="7"/>
    <n v="5"/>
    <n v="2"/>
    <n v="7"/>
    <n v="6"/>
    <n v="333"/>
    <n v="0"/>
    <n v="78"/>
    <n v="4.8"/>
    <n v="48"/>
    <n v="80"/>
    <n v="30"/>
    <n v="52"/>
    <x v="2"/>
    <x v="0"/>
  </r>
  <r>
    <x v="563"/>
    <n v="2"/>
    <n v="3"/>
    <n v="10"/>
    <n v="8"/>
    <n v="10"/>
    <n v="2"/>
    <n v="147"/>
    <n v="0"/>
    <n v="61"/>
    <n v="6.6"/>
    <n v="66"/>
    <n v="40"/>
    <n v="10"/>
    <n v="41"/>
    <x v="0"/>
    <x v="0"/>
  </r>
  <r>
    <x v="564"/>
    <n v="5"/>
    <n v="3"/>
    <n v="4"/>
    <n v="10"/>
    <n v="6"/>
    <n v="0"/>
    <n v="164"/>
    <n v="2"/>
    <n v="81"/>
    <n v="5.6"/>
    <n v="56"/>
    <n v="60"/>
    <n v="20"/>
    <n v="46"/>
    <x v="2"/>
    <x v="0"/>
  </r>
  <r>
    <x v="565"/>
    <n v="8"/>
    <n v="10"/>
    <n v="7"/>
    <n v="9"/>
    <n v="1"/>
    <n v="2"/>
    <n v="261"/>
    <n v="5"/>
    <n v="59"/>
    <n v="7"/>
    <n v="70"/>
    <n v="80"/>
    <n v="60"/>
    <n v="70"/>
    <x v="0"/>
    <x v="0"/>
  </r>
  <r>
    <x v="566"/>
    <n v="10"/>
    <n v="6"/>
    <n v="6"/>
    <n v="4"/>
    <n v="2"/>
    <n v="4"/>
    <n v="215"/>
    <n v="0"/>
    <n v="40"/>
    <n v="5.6"/>
    <n v="56"/>
    <n v="60"/>
    <n v="20"/>
    <n v="46"/>
    <x v="1"/>
    <x v="0"/>
  </r>
  <r>
    <x v="567"/>
    <n v="1"/>
    <n v="5"/>
    <n v="8"/>
    <n v="7"/>
    <n v="2"/>
    <n v="6"/>
    <n v="362"/>
    <n v="4"/>
    <n v="95"/>
    <n v="4.5999999999999996"/>
    <n v="46"/>
    <n v="80"/>
    <n v="70"/>
    <n v="63"/>
    <x v="2"/>
    <x v="0"/>
  </r>
  <r>
    <x v="568"/>
    <n v="6"/>
    <n v="2"/>
    <n v="2"/>
    <n v="8"/>
    <n v="10"/>
    <n v="0"/>
    <n v="259"/>
    <n v="5"/>
    <n v="84"/>
    <n v="5.6"/>
    <n v="56"/>
    <n v="80"/>
    <n v="50"/>
    <n v="61"/>
    <x v="2"/>
    <x v="0"/>
  </r>
  <r>
    <x v="569"/>
    <n v="4"/>
    <n v="10"/>
    <n v="9"/>
    <n v="8"/>
    <n v="2"/>
    <n v="0"/>
    <n v="168"/>
    <n v="2"/>
    <n v="87"/>
    <n v="6.6"/>
    <n v="66"/>
    <n v="60"/>
    <n v="20"/>
    <n v="50"/>
    <x v="2"/>
    <x v="0"/>
  </r>
  <r>
    <x v="570"/>
    <n v="2"/>
    <n v="2"/>
    <n v="8"/>
    <n v="4"/>
    <n v="7"/>
    <n v="5"/>
    <n v="216"/>
    <n v="3"/>
    <n v="69"/>
    <n v="4.5999999999999996"/>
    <n v="46"/>
    <n v="60"/>
    <n v="55"/>
    <n v="53"/>
    <x v="0"/>
    <x v="0"/>
  </r>
  <r>
    <x v="571"/>
    <n v="10"/>
    <n v="3"/>
    <n v="3"/>
    <n v="6"/>
    <n v="7"/>
    <n v="4"/>
    <n v="314"/>
    <n v="0"/>
    <n v="92"/>
    <n v="5.8"/>
    <n v="58"/>
    <n v="80"/>
    <n v="20"/>
    <n v="53"/>
    <x v="2"/>
    <x v="0"/>
  </r>
  <r>
    <x v="572"/>
    <n v="2"/>
    <n v="10"/>
    <n v="6"/>
    <n v="9"/>
    <n v="7"/>
    <n v="6"/>
    <n v="243"/>
    <n v="0"/>
    <n v="49"/>
    <n v="6.8"/>
    <n v="68"/>
    <n v="60"/>
    <n v="30"/>
    <n v="54"/>
    <x v="1"/>
    <x v="0"/>
  </r>
  <r>
    <x v="573"/>
    <n v="5"/>
    <n v="3"/>
    <n v="6"/>
    <n v="3"/>
    <n v="3"/>
    <n v="0"/>
    <n v="212"/>
    <n v="3"/>
    <n v="80"/>
    <n v="4"/>
    <n v="40"/>
    <n v="60"/>
    <n v="30"/>
    <n v="43"/>
    <x v="2"/>
    <x v="0"/>
  </r>
  <r>
    <x v="574"/>
    <n v="3"/>
    <n v="9"/>
    <n v="9"/>
    <n v="7"/>
    <n v="2"/>
    <n v="7"/>
    <n v="95"/>
    <n v="5"/>
    <n v="70"/>
    <n v="6"/>
    <n v="60"/>
    <n v="40"/>
    <n v="85"/>
    <n v="62"/>
    <x v="0"/>
    <x v="0"/>
  </r>
  <r>
    <x v="575"/>
    <n v="2"/>
    <n v="4"/>
    <n v="2"/>
    <n v="2"/>
    <n v="4"/>
    <n v="7"/>
    <n v="293"/>
    <n v="0"/>
    <n v="67"/>
    <n v="2.8"/>
    <n v="28"/>
    <n v="80"/>
    <n v="35"/>
    <n v="46"/>
    <x v="0"/>
    <x v="0"/>
  </r>
  <r>
    <x v="576"/>
    <n v="1"/>
    <n v="6"/>
    <n v="10"/>
    <n v="2"/>
    <n v="7"/>
    <n v="2"/>
    <n v="467"/>
    <n v="2"/>
    <n v="79"/>
    <n v="5.2"/>
    <n v="52"/>
    <n v="100"/>
    <n v="30"/>
    <n v="60"/>
    <x v="2"/>
    <x v="0"/>
  </r>
  <r>
    <x v="577"/>
    <n v="7"/>
    <n v="6"/>
    <n v="1"/>
    <n v="2"/>
    <n v="6"/>
    <n v="5"/>
    <n v="393"/>
    <n v="5"/>
    <n v="90"/>
    <n v="4.4000000000000004"/>
    <n v="44"/>
    <n v="80"/>
    <n v="75"/>
    <n v="64"/>
    <x v="2"/>
    <x v="0"/>
  </r>
  <r>
    <x v="578"/>
    <n v="7"/>
    <n v="7"/>
    <n v="3"/>
    <n v="5"/>
    <n v="9"/>
    <n v="1"/>
    <n v="269"/>
    <n v="3"/>
    <n v="76"/>
    <n v="6.2"/>
    <n v="62"/>
    <n v="80"/>
    <n v="35"/>
    <n v="59"/>
    <x v="2"/>
    <x v="0"/>
  </r>
  <r>
    <x v="579"/>
    <n v="5"/>
    <n v="6"/>
    <n v="7"/>
    <n v="4"/>
    <n v="6"/>
    <n v="1"/>
    <n v="97"/>
    <n v="4"/>
    <n v="60"/>
    <n v="5.6"/>
    <n v="56"/>
    <n v="40"/>
    <n v="45"/>
    <n v="48"/>
    <x v="0"/>
    <x v="0"/>
  </r>
  <r>
    <x v="580"/>
    <n v="9"/>
    <n v="2"/>
    <n v="9"/>
    <n v="3"/>
    <n v="10"/>
    <n v="6"/>
    <n v="498"/>
    <n v="2"/>
    <n v="41"/>
    <n v="6.6"/>
    <n v="66"/>
    <n v="100"/>
    <n v="50"/>
    <n v="71"/>
    <x v="1"/>
    <x v="1"/>
  </r>
  <r>
    <x v="581"/>
    <n v="10"/>
    <n v="6"/>
    <n v="1"/>
    <n v="5"/>
    <n v="3"/>
    <n v="0"/>
    <n v="144"/>
    <n v="0"/>
    <n v="62"/>
    <n v="5"/>
    <n v="50"/>
    <n v="40"/>
    <n v="0"/>
    <n v="32"/>
    <x v="0"/>
    <x v="2"/>
  </r>
  <r>
    <x v="582"/>
    <n v="2"/>
    <n v="10"/>
    <n v="10"/>
    <n v="2"/>
    <n v="9"/>
    <n v="1"/>
    <n v="53"/>
    <n v="4"/>
    <n v="59"/>
    <n v="6.6"/>
    <n v="66"/>
    <n v="40"/>
    <n v="45"/>
    <n v="52"/>
    <x v="0"/>
    <x v="0"/>
  </r>
  <r>
    <x v="583"/>
    <n v="10"/>
    <n v="1"/>
    <n v="1"/>
    <n v="1"/>
    <n v="10"/>
    <n v="3"/>
    <n v="213"/>
    <n v="5"/>
    <n v="40"/>
    <n v="4.5999999999999996"/>
    <n v="46"/>
    <n v="60"/>
    <n v="65"/>
    <n v="56"/>
    <x v="1"/>
    <x v="0"/>
  </r>
  <r>
    <x v="584"/>
    <n v="7"/>
    <n v="8"/>
    <n v="8"/>
    <n v="1"/>
    <n v="5"/>
    <n v="3"/>
    <n v="97"/>
    <n v="4"/>
    <n v="49"/>
    <n v="5.8"/>
    <n v="58"/>
    <n v="40"/>
    <n v="55"/>
    <n v="52"/>
    <x v="1"/>
    <x v="0"/>
  </r>
  <r>
    <x v="585"/>
    <n v="2"/>
    <n v="6"/>
    <n v="7"/>
    <n v="5"/>
    <n v="6"/>
    <n v="7"/>
    <n v="60"/>
    <n v="1"/>
    <n v="81"/>
    <n v="5.2"/>
    <n v="52"/>
    <n v="40"/>
    <n v="45"/>
    <n v="46"/>
    <x v="2"/>
    <x v="0"/>
  </r>
  <r>
    <x v="586"/>
    <n v="2"/>
    <n v="8"/>
    <n v="3"/>
    <n v="10"/>
    <n v="2"/>
    <n v="0"/>
    <n v="489"/>
    <n v="3"/>
    <n v="40"/>
    <n v="5"/>
    <n v="50"/>
    <n v="100"/>
    <n v="30"/>
    <n v="59"/>
    <x v="1"/>
    <x v="0"/>
  </r>
  <r>
    <x v="587"/>
    <n v="8"/>
    <n v="4"/>
    <n v="8"/>
    <n v="5"/>
    <n v="10"/>
    <n v="0"/>
    <n v="263"/>
    <n v="4"/>
    <n v="69"/>
    <n v="7"/>
    <n v="70"/>
    <n v="80"/>
    <n v="40"/>
    <n v="64"/>
    <x v="0"/>
    <x v="0"/>
  </r>
  <r>
    <x v="588"/>
    <n v="7"/>
    <n v="3"/>
    <n v="3"/>
    <n v="7"/>
    <n v="2"/>
    <n v="7"/>
    <n v="242"/>
    <n v="2"/>
    <n v="56"/>
    <n v="4.4000000000000004"/>
    <n v="44"/>
    <n v="60"/>
    <n v="55"/>
    <n v="52"/>
    <x v="0"/>
    <x v="0"/>
  </r>
  <r>
    <x v="589"/>
    <n v="8"/>
    <n v="8"/>
    <n v="9"/>
    <n v="3"/>
    <n v="2"/>
    <n v="6"/>
    <n v="293"/>
    <n v="2"/>
    <n v="60"/>
    <n v="6"/>
    <n v="60"/>
    <n v="80"/>
    <n v="50"/>
    <n v="63"/>
    <x v="0"/>
    <x v="0"/>
  </r>
  <r>
    <x v="590"/>
    <n v="6"/>
    <n v="10"/>
    <n v="8"/>
    <n v="2"/>
    <n v="9"/>
    <n v="3"/>
    <n v="134"/>
    <n v="0"/>
    <n v="78"/>
    <n v="7"/>
    <n v="70"/>
    <n v="40"/>
    <n v="15"/>
    <n v="45"/>
    <x v="2"/>
    <x v="0"/>
  </r>
  <r>
    <x v="591"/>
    <n v="2"/>
    <n v="6"/>
    <n v="6"/>
    <n v="1"/>
    <n v="7"/>
    <n v="4"/>
    <n v="412"/>
    <n v="4"/>
    <n v="48"/>
    <n v="4.4000000000000004"/>
    <n v="44"/>
    <n v="100"/>
    <n v="60"/>
    <n v="66"/>
    <x v="1"/>
    <x v="0"/>
  </r>
  <r>
    <x v="592"/>
    <n v="6"/>
    <n v="5"/>
    <n v="10"/>
    <n v="7"/>
    <n v="8"/>
    <n v="3"/>
    <n v="452"/>
    <n v="5"/>
    <n v="84"/>
    <n v="7.2"/>
    <n v="72"/>
    <n v="100"/>
    <n v="65"/>
    <n v="78"/>
    <x v="2"/>
    <x v="1"/>
  </r>
  <r>
    <x v="593"/>
    <n v="8"/>
    <n v="3"/>
    <n v="9"/>
    <n v="3"/>
    <n v="6"/>
    <n v="6"/>
    <n v="340"/>
    <n v="5"/>
    <n v="51"/>
    <n v="5.8"/>
    <n v="58"/>
    <n v="80"/>
    <n v="80"/>
    <n v="71"/>
    <x v="0"/>
    <x v="1"/>
  </r>
  <r>
    <x v="594"/>
    <n v="4"/>
    <n v="2"/>
    <n v="1"/>
    <n v="8"/>
    <n v="1"/>
    <n v="6"/>
    <n v="185"/>
    <n v="1"/>
    <n v="91"/>
    <n v="3.2"/>
    <n v="32"/>
    <n v="60"/>
    <n v="40"/>
    <n v="43"/>
    <x v="2"/>
    <x v="0"/>
  </r>
  <r>
    <x v="595"/>
    <n v="3"/>
    <n v="5"/>
    <n v="7"/>
    <n v="6"/>
    <n v="4"/>
    <n v="4"/>
    <n v="264"/>
    <n v="0"/>
    <n v="90"/>
    <n v="5"/>
    <n v="50"/>
    <n v="80"/>
    <n v="20"/>
    <n v="50"/>
    <x v="2"/>
    <x v="0"/>
  </r>
  <r>
    <x v="596"/>
    <n v="2"/>
    <n v="2"/>
    <n v="5"/>
    <n v="9"/>
    <n v="4"/>
    <n v="4"/>
    <n v="102"/>
    <n v="4"/>
    <n v="57"/>
    <n v="4.4000000000000004"/>
    <n v="44"/>
    <n v="40"/>
    <n v="60"/>
    <n v="48"/>
    <x v="0"/>
    <x v="0"/>
  </r>
  <r>
    <x v="597"/>
    <n v="10"/>
    <n v="5"/>
    <n v="1"/>
    <n v="7"/>
    <n v="2"/>
    <n v="8"/>
    <n v="224"/>
    <n v="0"/>
    <n v="75"/>
    <n v="5"/>
    <n v="50"/>
    <n v="60"/>
    <n v="40"/>
    <n v="50"/>
    <x v="2"/>
    <x v="0"/>
  </r>
  <r>
    <x v="598"/>
    <n v="2"/>
    <n v="10"/>
    <n v="10"/>
    <n v="5"/>
    <n v="5"/>
    <n v="4"/>
    <n v="460"/>
    <n v="4"/>
    <n v="89"/>
    <n v="6.4"/>
    <n v="64"/>
    <n v="100"/>
    <n v="60"/>
    <n v="74"/>
    <x v="2"/>
    <x v="1"/>
  </r>
  <r>
    <x v="599"/>
    <n v="6"/>
    <n v="4"/>
    <n v="9"/>
    <n v="1"/>
    <n v="10"/>
    <n v="8"/>
    <n v="489"/>
    <n v="2"/>
    <n v="65"/>
    <n v="6"/>
    <n v="60"/>
    <n v="100"/>
    <n v="60"/>
    <n v="72"/>
    <x v="0"/>
    <x v="1"/>
  </r>
  <r>
    <x v="600"/>
    <n v="1"/>
    <n v="1"/>
    <n v="9"/>
    <n v="8"/>
    <n v="7"/>
    <n v="5"/>
    <n v="422"/>
    <n v="2"/>
    <n v="81"/>
    <n v="5.2"/>
    <n v="52"/>
    <n v="100"/>
    <n v="45"/>
    <n v="64"/>
    <x v="2"/>
    <x v="0"/>
  </r>
  <r>
    <x v="601"/>
    <n v="8"/>
    <n v="5"/>
    <n v="5"/>
    <n v="6"/>
    <n v="1"/>
    <n v="0"/>
    <n v="108"/>
    <n v="5"/>
    <n v="67"/>
    <n v="5"/>
    <n v="50"/>
    <n v="40"/>
    <n v="50"/>
    <n v="47"/>
    <x v="0"/>
    <x v="0"/>
  </r>
  <r>
    <x v="602"/>
    <n v="9"/>
    <n v="8"/>
    <n v="9"/>
    <n v="2"/>
    <n v="8"/>
    <n v="8"/>
    <n v="296"/>
    <n v="5"/>
    <n v="90"/>
    <n v="7.2"/>
    <n v="72"/>
    <n v="80"/>
    <n v="90"/>
    <n v="80"/>
    <x v="2"/>
    <x v="1"/>
  </r>
  <r>
    <x v="603"/>
    <n v="9"/>
    <n v="5"/>
    <n v="8"/>
    <n v="9"/>
    <n v="3"/>
    <n v="3"/>
    <n v="312"/>
    <n v="4"/>
    <n v="69"/>
    <n v="6.8"/>
    <n v="68"/>
    <n v="80"/>
    <n v="55"/>
    <n v="68"/>
    <x v="0"/>
    <x v="0"/>
  </r>
  <r>
    <x v="604"/>
    <n v="10"/>
    <n v="10"/>
    <n v="1"/>
    <n v="6"/>
    <n v="1"/>
    <n v="6"/>
    <n v="160"/>
    <n v="0"/>
    <n v="50"/>
    <n v="5.6"/>
    <n v="56"/>
    <n v="60"/>
    <n v="30"/>
    <n v="49"/>
    <x v="0"/>
    <x v="0"/>
  </r>
  <r>
    <x v="605"/>
    <n v="3"/>
    <n v="10"/>
    <n v="8"/>
    <n v="6"/>
    <n v="8"/>
    <n v="0"/>
    <n v="200"/>
    <n v="1"/>
    <n v="57"/>
    <n v="7"/>
    <n v="70"/>
    <n v="60"/>
    <n v="10"/>
    <n v="49"/>
    <x v="0"/>
    <x v="0"/>
  </r>
  <r>
    <x v="606"/>
    <n v="6"/>
    <n v="8"/>
    <n v="3"/>
    <n v="9"/>
    <n v="5"/>
    <n v="0"/>
    <n v="373"/>
    <n v="4"/>
    <n v="85"/>
    <n v="6.2"/>
    <n v="62"/>
    <n v="80"/>
    <n v="40"/>
    <n v="61"/>
    <x v="2"/>
    <x v="0"/>
  </r>
  <r>
    <x v="607"/>
    <n v="6"/>
    <n v="6"/>
    <n v="3"/>
    <n v="4"/>
    <n v="3"/>
    <n v="0"/>
    <n v="456"/>
    <n v="3"/>
    <n v="70"/>
    <n v="4.4000000000000004"/>
    <n v="44"/>
    <n v="100"/>
    <n v="30"/>
    <n v="57"/>
    <x v="0"/>
    <x v="0"/>
  </r>
  <r>
    <x v="608"/>
    <n v="6"/>
    <n v="3"/>
    <n v="4"/>
    <n v="10"/>
    <n v="4"/>
    <n v="2"/>
    <n v="70"/>
    <n v="0"/>
    <n v="67"/>
    <n v="5.4"/>
    <n v="54"/>
    <n v="40"/>
    <n v="10"/>
    <n v="37"/>
    <x v="0"/>
    <x v="2"/>
  </r>
  <r>
    <x v="609"/>
    <n v="4"/>
    <n v="6"/>
    <n v="7"/>
    <n v="10"/>
    <n v="10"/>
    <n v="2"/>
    <n v="202"/>
    <n v="3"/>
    <n v="68"/>
    <n v="7.4"/>
    <n v="74"/>
    <n v="60"/>
    <n v="40"/>
    <n v="60"/>
    <x v="0"/>
    <x v="0"/>
  </r>
  <r>
    <x v="610"/>
    <n v="3"/>
    <n v="1"/>
    <n v="6"/>
    <n v="4"/>
    <n v="1"/>
    <n v="3"/>
    <n v="185"/>
    <n v="1"/>
    <n v="66"/>
    <n v="3"/>
    <n v="30"/>
    <n v="60"/>
    <n v="25"/>
    <n v="38"/>
    <x v="0"/>
    <x v="2"/>
  </r>
  <r>
    <x v="611"/>
    <n v="2"/>
    <n v="3"/>
    <n v="9"/>
    <n v="5"/>
    <n v="10"/>
    <n v="6"/>
    <n v="422"/>
    <n v="3"/>
    <n v="86"/>
    <n v="5.8"/>
    <n v="58"/>
    <n v="100"/>
    <n v="60"/>
    <n v="71"/>
    <x v="2"/>
    <x v="1"/>
  </r>
  <r>
    <x v="612"/>
    <n v="3"/>
    <n v="3"/>
    <n v="8"/>
    <n v="2"/>
    <n v="8"/>
    <n v="4"/>
    <n v="168"/>
    <n v="4"/>
    <n v="79"/>
    <n v="4.8"/>
    <n v="48"/>
    <n v="60"/>
    <n v="60"/>
    <n v="55"/>
    <x v="2"/>
    <x v="0"/>
  </r>
  <r>
    <x v="613"/>
    <n v="2"/>
    <n v="8"/>
    <n v="10"/>
    <n v="3"/>
    <n v="9"/>
    <n v="6"/>
    <n v="240"/>
    <n v="3"/>
    <n v="77"/>
    <n v="6.4"/>
    <n v="64"/>
    <n v="60"/>
    <n v="60"/>
    <n v="62"/>
    <x v="2"/>
    <x v="0"/>
  </r>
  <r>
    <x v="614"/>
    <n v="7"/>
    <n v="1"/>
    <n v="6"/>
    <n v="6"/>
    <n v="1"/>
    <n v="8"/>
    <n v="345"/>
    <n v="1"/>
    <n v="65"/>
    <n v="4.2"/>
    <n v="42"/>
    <n v="80"/>
    <n v="50"/>
    <n v="56"/>
    <x v="0"/>
    <x v="0"/>
  </r>
  <r>
    <x v="615"/>
    <n v="8"/>
    <n v="10"/>
    <n v="4"/>
    <n v="2"/>
    <n v="4"/>
    <n v="7"/>
    <n v="165"/>
    <n v="1"/>
    <n v="46"/>
    <n v="5.6"/>
    <n v="56"/>
    <n v="60"/>
    <n v="45"/>
    <n v="54"/>
    <x v="1"/>
    <x v="0"/>
  </r>
  <r>
    <x v="616"/>
    <n v="3"/>
    <n v="2"/>
    <n v="10"/>
    <n v="10"/>
    <n v="3"/>
    <n v="6"/>
    <n v="385"/>
    <n v="2"/>
    <n v="89"/>
    <n v="5.6"/>
    <n v="56"/>
    <n v="80"/>
    <n v="50"/>
    <n v="61"/>
    <x v="2"/>
    <x v="0"/>
  </r>
  <r>
    <x v="617"/>
    <n v="1"/>
    <n v="10"/>
    <n v="6"/>
    <n v="5"/>
    <n v="9"/>
    <n v="6"/>
    <n v="299"/>
    <n v="3"/>
    <n v="43"/>
    <n v="6.2"/>
    <n v="62"/>
    <n v="80"/>
    <n v="60"/>
    <n v="67"/>
    <x v="1"/>
    <x v="0"/>
  </r>
  <r>
    <x v="618"/>
    <n v="4"/>
    <n v="1"/>
    <n v="7"/>
    <n v="6"/>
    <n v="8"/>
    <n v="8"/>
    <n v="409"/>
    <n v="5"/>
    <n v="80"/>
    <n v="5.2"/>
    <n v="52"/>
    <n v="100"/>
    <n v="90"/>
    <n v="78"/>
    <x v="2"/>
    <x v="1"/>
  </r>
  <r>
    <x v="619"/>
    <n v="7"/>
    <n v="2"/>
    <n v="2"/>
    <n v="10"/>
    <n v="7"/>
    <n v="7"/>
    <n v="388"/>
    <n v="4"/>
    <n v="55"/>
    <n v="5.6"/>
    <n v="56"/>
    <n v="80"/>
    <n v="75"/>
    <n v="69"/>
    <x v="0"/>
    <x v="0"/>
  </r>
  <r>
    <x v="620"/>
    <n v="1"/>
    <n v="5"/>
    <n v="7"/>
    <n v="4"/>
    <n v="5"/>
    <n v="4"/>
    <n v="466"/>
    <n v="2"/>
    <n v="84"/>
    <n v="4.4000000000000004"/>
    <n v="44"/>
    <n v="100"/>
    <n v="40"/>
    <n v="60"/>
    <x v="2"/>
    <x v="0"/>
  </r>
  <r>
    <x v="621"/>
    <n v="3"/>
    <n v="4"/>
    <n v="4"/>
    <n v="8"/>
    <n v="8"/>
    <n v="4"/>
    <n v="322"/>
    <n v="2"/>
    <n v="73"/>
    <n v="5.4"/>
    <n v="54"/>
    <n v="80"/>
    <n v="40"/>
    <n v="58"/>
    <x v="0"/>
    <x v="0"/>
  </r>
  <r>
    <x v="622"/>
    <n v="1"/>
    <n v="7"/>
    <n v="7"/>
    <n v="10"/>
    <n v="8"/>
    <n v="3"/>
    <n v="462"/>
    <n v="2"/>
    <n v="82"/>
    <n v="6.6"/>
    <n v="66"/>
    <n v="100"/>
    <n v="35"/>
    <n v="67"/>
    <x v="2"/>
    <x v="0"/>
  </r>
  <r>
    <x v="623"/>
    <n v="5"/>
    <n v="2"/>
    <n v="6"/>
    <n v="8"/>
    <n v="9"/>
    <n v="5"/>
    <n v="375"/>
    <n v="0"/>
    <n v="77"/>
    <n v="6"/>
    <n v="60"/>
    <n v="80"/>
    <n v="25"/>
    <n v="56"/>
    <x v="2"/>
    <x v="0"/>
  </r>
  <r>
    <x v="624"/>
    <n v="8"/>
    <n v="3"/>
    <n v="6"/>
    <n v="9"/>
    <n v="10"/>
    <n v="7"/>
    <n v="172"/>
    <n v="0"/>
    <n v="50"/>
    <n v="7.2"/>
    <n v="72"/>
    <n v="60"/>
    <n v="35"/>
    <n v="57"/>
    <x v="0"/>
    <x v="0"/>
  </r>
  <r>
    <x v="625"/>
    <n v="5"/>
    <n v="2"/>
    <n v="6"/>
    <n v="5"/>
    <n v="9"/>
    <n v="0"/>
    <n v="312"/>
    <n v="4"/>
    <n v="72"/>
    <n v="5.4"/>
    <n v="54"/>
    <n v="80"/>
    <n v="40"/>
    <n v="58"/>
    <x v="0"/>
    <x v="0"/>
  </r>
  <r>
    <x v="626"/>
    <n v="5"/>
    <n v="8"/>
    <n v="1"/>
    <n v="7"/>
    <n v="4"/>
    <n v="1"/>
    <n v="139"/>
    <n v="4"/>
    <n v="56"/>
    <n v="5"/>
    <n v="50"/>
    <n v="40"/>
    <n v="45"/>
    <n v="46"/>
    <x v="0"/>
    <x v="0"/>
  </r>
  <r>
    <x v="627"/>
    <n v="8"/>
    <n v="5"/>
    <n v="5"/>
    <n v="8"/>
    <n v="2"/>
    <n v="1"/>
    <n v="91"/>
    <n v="1"/>
    <n v="68"/>
    <n v="5.6"/>
    <n v="56"/>
    <n v="40"/>
    <n v="15"/>
    <n v="39"/>
    <x v="0"/>
    <x v="2"/>
  </r>
  <r>
    <x v="628"/>
    <n v="7"/>
    <n v="6"/>
    <n v="5"/>
    <n v="6"/>
    <n v="10"/>
    <n v="7"/>
    <n v="263"/>
    <n v="5"/>
    <n v="41"/>
    <n v="6.8"/>
    <n v="68"/>
    <n v="80"/>
    <n v="85"/>
    <n v="77"/>
    <x v="1"/>
    <x v="1"/>
  </r>
  <r>
    <x v="629"/>
    <n v="4"/>
    <n v="5"/>
    <n v="2"/>
    <n v="3"/>
    <n v="7"/>
    <n v="1"/>
    <n v="340"/>
    <n v="3"/>
    <n v="49"/>
    <n v="4.2"/>
    <n v="42"/>
    <n v="80"/>
    <n v="35"/>
    <n v="51"/>
    <x v="1"/>
    <x v="0"/>
  </r>
  <r>
    <x v="630"/>
    <n v="7"/>
    <n v="5"/>
    <n v="7"/>
    <n v="3"/>
    <n v="5"/>
    <n v="1"/>
    <n v="211"/>
    <n v="3"/>
    <n v="70"/>
    <n v="5.4"/>
    <n v="54"/>
    <n v="60"/>
    <n v="35"/>
    <n v="50"/>
    <x v="0"/>
    <x v="0"/>
  </r>
  <r>
    <x v="631"/>
    <n v="8"/>
    <n v="2"/>
    <n v="8"/>
    <n v="5"/>
    <n v="2"/>
    <n v="6"/>
    <n v="371"/>
    <n v="2"/>
    <n v="63"/>
    <n v="5"/>
    <n v="50"/>
    <n v="80"/>
    <n v="50"/>
    <n v="59"/>
    <x v="0"/>
    <x v="0"/>
  </r>
  <r>
    <x v="632"/>
    <n v="3"/>
    <n v="10"/>
    <n v="7"/>
    <n v="8"/>
    <n v="7"/>
    <n v="7"/>
    <n v="286"/>
    <n v="5"/>
    <n v="68"/>
    <n v="7"/>
    <n v="70"/>
    <n v="80"/>
    <n v="85"/>
    <n v="78"/>
    <x v="0"/>
    <x v="1"/>
  </r>
  <r>
    <x v="633"/>
    <n v="2"/>
    <n v="3"/>
    <n v="10"/>
    <n v="10"/>
    <n v="2"/>
    <n v="1"/>
    <n v="177"/>
    <n v="4"/>
    <n v="75"/>
    <n v="5.4"/>
    <n v="54"/>
    <n v="60"/>
    <n v="45"/>
    <n v="53"/>
    <x v="2"/>
    <x v="0"/>
  </r>
  <r>
    <x v="634"/>
    <n v="5"/>
    <n v="8"/>
    <n v="1"/>
    <n v="1"/>
    <n v="10"/>
    <n v="0"/>
    <n v="67"/>
    <n v="1"/>
    <n v="66"/>
    <n v="5"/>
    <n v="50"/>
    <n v="40"/>
    <n v="10"/>
    <n v="35"/>
    <x v="0"/>
    <x v="2"/>
  </r>
  <r>
    <x v="635"/>
    <n v="5"/>
    <n v="4"/>
    <n v="10"/>
    <n v="8"/>
    <n v="8"/>
    <n v="8"/>
    <n v="125"/>
    <n v="5"/>
    <n v="57"/>
    <n v="7"/>
    <n v="70"/>
    <n v="40"/>
    <n v="90"/>
    <n v="67"/>
    <x v="0"/>
    <x v="0"/>
  </r>
  <r>
    <x v="636"/>
    <n v="7"/>
    <n v="4"/>
    <n v="1"/>
    <n v="7"/>
    <n v="1"/>
    <n v="0"/>
    <n v="296"/>
    <n v="5"/>
    <n v="73"/>
    <n v="4"/>
    <n v="40"/>
    <n v="80"/>
    <n v="50"/>
    <n v="55"/>
    <x v="0"/>
    <x v="0"/>
  </r>
  <r>
    <x v="637"/>
    <n v="5"/>
    <n v="8"/>
    <n v="7"/>
    <n v="7"/>
    <n v="9"/>
    <n v="5"/>
    <n v="250"/>
    <n v="3"/>
    <n v="86"/>
    <n v="7.2"/>
    <n v="72"/>
    <n v="80"/>
    <n v="55"/>
    <n v="69"/>
    <x v="2"/>
    <x v="0"/>
  </r>
  <r>
    <x v="638"/>
    <n v="2"/>
    <n v="6"/>
    <n v="4"/>
    <n v="4"/>
    <n v="4"/>
    <n v="0"/>
    <n v="90"/>
    <n v="4"/>
    <n v="93"/>
    <n v="4"/>
    <n v="40"/>
    <n v="40"/>
    <n v="40"/>
    <n v="40"/>
    <x v="2"/>
    <x v="0"/>
  </r>
  <r>
    <x v="639"/>
    <n v="10"/>
    <n v="6"/>
    <n v="10"/>
    <n v="7"/>
    <n v="7"/>
    <n v="1"/>
    <n v="363"/>
    <n v="2"/>
    <n v="56"/>
    <n v="8"/>
    <n v="80"/>
    <n v="80"/>
    <n v="25"/>
    <n v="64"/>
    <x v="0"/>
    <x v="0"/>
  </r>
  <r>
    <x v="640"/>
    <n v="4"/>
    <n v="9"/>
    <n v="8"/>
    <n v="5"/>
    <n v="2"/>
    <n v="3"/>
    <n v="402"/>
    <n v="0"/>
    <n v="91"/>
    <n v="5.6"/>
    <n v="56"/>
    <n v="100"/>
    <n v="15"/>
    <n v="57"/>
    <x v="2"/>
    <x v="0"/>
  </r>
  <r>
    <x v="641"/>
    <n v="5"/>
    <n v="5"/>
    <n v="7"/>
    <n v="10"/>
    <n v="2"/>
    <n v="8"/>
    <n v="351"/>
    <n v="3"/>
    <n v="43"/>
    <n v="5.8"/>
    <n v="58"/>
    <n v="80"/>
    <n v="70"/>
    <n v="68"/>
    <x v="1"/>
    <x v="0"/>
  </r>
  <r>
    <x v="642"/>
    <n v="10"/>
    <n v="6"/>
    <n v="2"/>
    <n v="9"/>
    <n v="9"/>
    <n v="6"/>
    <n v="203"/>
    <n v="0"/>
    <n v="84"/>
    <n v="7.2"/>
    <n v="72"/>
    <n v="60"/>
    <n v="30"/>
    <n v="56"/>
    <x v="2"/>
    <x v="0"/>
  </r>
  <r>
    <x v="643"/>
    <n v="5"/>
    <n v="4"/>
    <n v="2"/>
    <n v="7"/>
    <n v="10"/>
    <n v="2"/>
    <n v="349"/>
    <n v="4"/>
    <n v="79"/>
    <n v="5.6"/>
    <n v="56"/>
    <n v="80"/>
    <n v="50"/>
    <n v="61"/>
    <x v="2"/>
    <x v="0"/>
  </r>
  <r>
    <x v="644"/>
    <n v="2"/>
    <n v="2"/>
    <n v="1"/>
    <n v="2"/>
    <n v="7"/>
    <n v="0"/>
    <n v="98"/>
    <n v="0"/>
    <n v="73"/>
    <n v="2.8"/>
    <n v="28"/>
    <n v="40"/>
    <n v="0"/>
    <n v="23"/>
    <x v="0"/>
    <x v="2"/>
  </r>
  <r>
    <x v="645"/>
    <n v="5"/>
    <n v="3"/>
    <n v="2"/>
    <n v="4"/>
    <n v="8"/>
    <n v="8"/>
    <n v="298"/>
    <n v="4"/>
    <n v="46"/>
    <n v="4.4000000000000004"/>
    <n v="44"/>
    <n v="80"/>
    <n v="80"/>
    <n v="66"/>
    <x v="1"/>
    <x v="0"/>
  </r>
  <r>
    <x v="646"/>
    <n v="6"/>
    <n v="2"/>
    <n v="5"/>
    <n v="8"/>
    <n v="2"/>
    <n v="6"/>
    <n v="53"/>
    <n v="3"/>
    <n v="64"/>
    <n v="4.5999999999999996"/>
    <n v="46"/>
    <n v="40"/>
    <n v="60"/>
    <n v="48"/>
    <x v="0"/>
    <x v="0"/>
  </r>
  <r>
    <x v="647"/>
    <n v="2"/>
    <n v="5"/>
    <n v="7"/>
    <n v="10"/>
    <n v="3"/>
    <n v="6"/>
    <n v="316"/>
    <n v="1"/>
    <n v="53"/>
    <n v="5.4"/>
    <n v="54"/>
    <n v="80"/>
    <n v="40"/>
    <n v="58"/>
    <x v="0"/>
    <x v="0"/>
  </r>
  <r>
    <x v="648"/>
    <n v="6"/>
    <n v="10"/>
    <n v="3"/>
    <n v="4"/>
    <n v="5"/>
    <n v="8"/>
    <n v="115"/>
    <n v="0"/>
    <n v="56"/>
    <n v="5.6"/>
    <n v="56"/>
    <n v="40"/>
    <n v="40"/>
    <n v="46"/>
    <x v="0"/>
    <x v="0"/>
  </r>
  <r>
    <x v="649"/>
    <n v="5"/>
    <n v="5"/>
    <n v="2"/>
    <n v="9"/>
    <n v="3"/>
    <n v="6"/>
    <n v="478"/>
    <n v="4"/>
    <n v="88"/>
    <n v="4.8"/>
    <n v="48"/>
    <n v="100"/>
    <n v="70"/>
    <n v="70"/>
    <x v="2"/>
    <x v="0"/>
  </r>
  <r>
    <x v="650"/>
    <n v="6"/>
    <n v="4"/>
    <n v="5"/>
    <n v="10"/>
    <n v="8"/>
    <n v="5"/>
    <n v="348"/>
    <n v="2"/>
    <n v="78"/>
    <n v="6.6"/>
    <n v="66"/>
    <n v="80"/>
    <n v="45"/>
    <n v="64"/>
    <x v="2"/>
    <x v="0"/>
  </r>
  <r>
    <x v="651"/>
    <n v="10"/>
    <n v="2"/>
    <n v="6"/>
    <n v="9"/>
    <n v="9"/>
    <n v="8"/>
    <n v="297"/>
    <n v="4"/>
    <n v="94"/>
    <n v="7.2"/>
    <n v="72"/>
    <n v="80"/>
    <n v="80"/>
    <n v="77"/>
    <x v="2"/>
    <x v="1"/>
  </r>
  <r>
    <x v="652"/>
    <n v="9"/>
    <n v="3"/>
    <n v="7"/>
    <n v="7"/>
    <n v="10"/>
    <n v="7"/>
    <n v="101"/>
    <n v="1"/>
    <n v="42"/>
    <n v="7.2"/>
    <n v="72"/>
    <n v="40"/>
    <n v="45"/>
    <n v="54"/>
    <x v="1"/>
    <x v="0"/>
  </r>
  <r>
    <x v="653"/>
    <n v="7"/>
    <n v="1"/>
    <n v="9"/>
    <n v="8"/>
    <n v="8"/>
    <n v="5"/>
    <n v="173"/>
    <n v="1"/>
    <n v="48"/>
    <n v="6.6"/>
    <n v="66"/>
    <n v="60"/>
    <n v="35"/>
    <n v="55"/>
    <x v="1"/>
    <x v="0"/>
  </r>
  <r>
    <x v="654"/>
    <n v="8"/>
    <n v="4"/>
    <n v="8"/>
    <n v="6"/>
    <n v="10"/>
    <n v="4"/>
    <n v="370"/>
    <n v="4"/>
    <n v="72"/>
    <n v="7.2"/>
    <n v="72"/>
    <n v="80"/>
    <n v="60"/>
    <n v="71"/>
    <x v="0"/>
    <x v="1"/>
  </r>
  <r>
    <x v="655"/>
    <n v="9"/>
    <n v="9"/>
    <n v="3"/>
    <n v="7"/>
    <n v="6"/>
    <n v="4"/>
    <n v="256"/>
    <n v="5"/>
    <n v="89"/>
    <n v="6.8"/>
    <n v="68"/>
    <n v="80"/>
    <n v="70"/>
    <n v="72"/>
    <x v="2"/>
    <x v="1"/>
  </r>
  <r>
    <x v="656"/>
    <n v="9"/>
    <n v="5"/>
    <n v="3"/>
    <n v="9"/>
    <n v="6"/>
    <n v="4"/>
    <n v="422"/>
    <n v="0"/>
    <n v="77"/>
    <n v="6.4"/>
    <n v="64"/>
    <n v="100"/>
    <n v="20"/>
    <n v="62"/>
    <x v="2"/>
    <x v="0"/>
  </r>
  <r>
    <x v="657"/>
    <n v="9"/>
    <n v="3"/>
    <n v="6"/>
    <n v="6"/>
    <n v="7"/>
    <n v="3"/>
    <n v="448"/>
    <n v="1"/>
    <n v="87"/>
    <n v="6.2"/>
    <n v="62"/>
    <n v="100"/>
    <n v="25"/>
    <n v="62"/>
    <x v="2"/>
    <x v="0"/>
  </r>
  <r>
    <x v="658"/>
    <n v="2"/>
    <n v="8"/>
    <n v="10"/>
    <n v="2"/>
    <n v="3"/>
    <n v="4"/>
    <n v="136"/>
    <n v="1"/>
    <n v="69"/>
    <n v="5"/>
    <n v="50"/>
    <n v="40"/>
    <n v="30"/>
    <n v="41"/>
    <x v="0"/>
    <x v="0"/>
  </r>
  <r>
    <x v="659"/>
    <n v="10"/>
    <n v="6"/>
    <n v="6"/>
    <n v="4"/>
    <n v="2"/>
    <n v="8"/>
    <n v="201"/>
    <n v="0"/>
    <n v="73"/>
    <n v="5.6"/>
    <n v="56"/>
    <n v="60"/>
    <n v="40"/>
    <n v="52"/>
    <x v="0"/>
    <x v="0"/>
  </r>
  <r>
    <x v="660"/>
    <n v="7"/>
    <n v="8"/>
    <n v="4"/>
    <n v="3"/>
    <n v="2"/>
    <n v="4"/>
    <n v="220"/>
    <n v="1"/>
    <n v="94"/>
    <n v="4.8"/>
    <n v="48"/>
    <n v="60"/>
    <n v="30"/>
    <n v="46"/>
    <x v="2"/>
    <x v="0"/>
  </r>
  <r>
    <x v="661"/>
    <n v="6"/>
    <n v="6"/>
    <n v="9"/>
    <n v="1"/>
    <n v="9"/>
    <n v="1"/>
    <n v="155"/>
    <n v="5"/>
    <n v="95"/>
    <n v="6.2"/>
    <n v="62"/>
    <n v="60"/>
    <n v="55"/>
    <n v="59"/>
    <x v="2"/>
    <x v="0"/>
  </r>
  <r>
    <x v="662"/>
    <n v="3"/>
    <n v="3"/>
    <n v="7"/>
    <n v="1"/>
    <n v="4"/>
    <n v="3"/>
    <n v="118"/>
    <n v="4"/>
    <n v="92"/>
    <n v="3.6"/>
    <n v="36"/>
    <n v="40"/>
    <n v="55"/>
    <n v="43"/>
    <x v="2"/>
    <x v="0"/>
  </r>
  <r>
    <x v="663"/>
    <n v="6"/>
    <n v="7"/>
    <n v="6"/>
    <n v="7"/>
    <n v="9"/>
    <n v="3"/>
    <n v="64"/>
    <n v="1"/>
    <n v="74"/>
    <n v="7"/>
    <n v="70"/>
    <n v="40"/>
    <n v="25"/>
    <n v="48"/>
    <x v="0"/>
    <x v="0"/>
  </r>
  <r>
    <x v="664"/>
    <n v="1"/>
    <n v="2"/>
    <n v="4"/>
    <n v="5"/>
    <n v="5"/>
    <n v="0"/>
    <n v="346"/>
    <n v="2"/>
    <n v="59"/>
    <n v="3.4"/>
    <n v="34"/>
    <n v="80"/>
    <n v="20"/>
    <n v="44"/>
    <x v="0"/>
    <x v="0"/>
  </r>
  <r>
    <x v="665"/>
    <n v="5"/>
    <n v="8"/>
    <n v="2"/>
    <n v="1"/>
    <n v="6"/>
    <n v="2"/>
    <n v="153"/>
    <n v="2"/>
    <n v="46"/>
    <n v="4.4000000000000004"/>
    <n v="44"/>
    <n v="60"/>
    <n v="30"/>
    <n v="45"/>
    <x v="1"/>
    <x v="0"/>
  </r>
  <r>
    <x v="666"/>
    <n v="9"/>
    <n v="10"/>
    <n v="1"/>
    <n v="6"/>
    <n v="4"/>
    <n v="5"/>
    <n v="213"/>
    <n v="1"/>
    <n v="73"/>
    <n v="6"/>
    <n v="60"/>
    <n v="60"/>
    <n v="35"/>
    <n v="53"/>
    <x v="0"/>
    <x v="0"/>
  </r>
  <r>
    <x v="667"/>
    <n v="8"/>
    <n v="9"/>
    <n v="7"/>
    <n v="3"/>
    <n v="2"/>
    <n v="1"/>
    <n v="199"/>
    <n v="0"/>
    <n v="59"/>
    <n v="5.8"/>
    <n v="58"/>
    <n v="60"/>
    <n v="5"/>
    <n v="43"/>
    <x v="0"/>
    <x v="0"/>
  </r>
  <r>
    <x v="668"/>
    <n v="5"/>
    <n v="2"/>
    <n v="3"/>
    <n v="9"/>
    <n v="5"/>
    <n v="2"/>
    <n v="448"/>
    <n v="4"/>
    <n v="85"/>
    <n v="4.8"/>
    <n v="48"/>
    <n v="100"/>
    <n v="50"/>
    <n v="64"/>
    <x v="2"/>
    <x v="0"/>
  </r>
  <r>
    <x v="669"/>
    <n v="7"/>
    <n v="9"/>
    <n v="10"/>
    <n v="4"/>
    <n v="7"/>
    <n v="2"/>
    <n v="222"/>
    <n v="4"/>
    <n v="65"/>
    <n v="7.4"/>
    <n v="74"/>
    <n v="60"/>
    <n v="50"/>
    <n v="63"/>
    <x v="0"/>
    <x v="0"/>
  </r>
  <r>
    <x v="670"/>
    <n v="5"/>
    <n v="8"/>
    <n v="2"/>
    <n v="10"/>
    <n v="10"/>
    <n v="3"/>
    <n v="135"/>
    <n v="0"/>
    <n v="76"/>
    <n v="7"/>
    <n v="70"/>
    <n v="40"/>
    <n v="15"/>
    <n v="45"/>
    <x v="2"/>
    <x v="0"/>
  </r>
  <r>
    <x v="671"/>
    <n v="4"/>
    <n v="2"/>
    <n v="9"/>
    <n v="3"/>
    <n v="3"/>
    <n v="5"/>
    <n v="196"/>
    <n v="2"/>
    <n v="89"/>
    <n v="4.2"/>
    <n v="42"/>
    <n v="60"/>
    <n v="45"/>
    <n v="48"/>
    <x v="2"/>
    <x v="0"/>
  </r>
  <r>
    <x v="672"/>
    <n v="2"/>
    <n v="5"/>
    <n v="8"/>
    <n v="4"/>
    <n v="8"/>
    <n v="3"/>
    <n v="491"/>
    <n v="3"/>
    <n v="93"/>
    <n v="5.4"/>
    <n v="54"/>
    <n v="100"/>
    <n v="45"/>
    <n v="65"/>
    <x v="2"/>
    <x v="0"/>
  </r>
  <r>
    <x v="673"/>
    <n v="2"/>
    <n v="6"/>
    <n v="1"/>
    <n v="9"/>
    <n v="2"/>
    <n v="4"/>
    <n v="349"/>
    <n v="4"/>
    <n v="57"/>
    <n v="4"/>
    <n v="40"/>
    <n v="80"/>
    <n v="60"/>
    <n v="58"/>
    <x v="0"/>
    <x v="0"/>
  </r>
  <r>
    <x v="674"/>
    <n v="9"/>
    <n v="10"/>
    <n v="3"/>
    <n v="7"/>
    <n v="3"/>
    <n v="2"/>
    <n v="317"/>
    <n v="0"/>
    <n v="60"/>
    <n v="6.4"/>
    <n v="64"/>
    <n v="80"/>
    <n v="10"/>
    <n v="53"/>
    <x v="0"/>
    <x v="0"/>
  </r>
  <r>
    <x v="675"/>
    <n v="9"/>
    <n v="4"/>
    <n v="9"/>
    <n v="8"/>
    <n v="3"/>
    <n v="6"/>
    <n v="485"/>
    <n v="0"/>
    <n v="67"/>
    <n v="6.6"/>
    <n v="66"/>
    <n v="100"/>
    <n v="30"/>
    <n v="65"/>
    <x v="0"/>
    <x v="0"/>
  </r>
  <r>
    <x v="676"/>
    <n v="4"/>
    <n v="6"/>
    <n v="8"/>
    <n v="1"/>
    <n v="7"/>
    <n v="8"/>
    <n v="468"/>
    <n v="5"/>
    <n v="40"/>
    <n v="5.2"/>
    <n v="52"/>
    <n v="100"/>
    <n v="90"/>
    <n v="78"/>
    <x v="1"/>
    <x v="1"/>
  </r>
  <r>
    <x v="677"/>
    <n v="3"/>
    <n v="3"/>
    <n v="1"/>
    <n v="9"/>
    <n v="1"/>
    <n v="7"/>
    <n v="160"/>
    <n v="2"/>
    <n v="79"/>
    <n v="3.4"/>
    <n v="34"/>
    <n v="60"/>
    <n v="55"/>
    <n v="48"/>
    <x v="2"/>
    <x v="0"/>
  </r>
  <r>
    <x v="678"/>
    <n v="9"/>
    <n v="1"/>
    <n v="8"/>
    <n v="6"/>
    <n v="3"/>
    <n v="1"/>
    <n v="448"/>
    <n v="0"/>
    <n v="55"/>
    <n v="5.4"/>
    <n v="54"/>
    <n v="100"/>
    <n v="5"/>
    <n v="53"/>
    <x v="0"/>
    <x v="0"/>
  </r>
  <r>
    <x v="679"/>
    <n v="5"/>
    <n v="8"/>
    <n v="8"/>
    <n v="2"/>
    <n v="2"/>
    <n v="6"/>
    <n v="270"/>
    <n v="5"/>
    <n v="89"/>
    <n v="5"/>
    <n v="50"/>
    <n v="80"/>
    <n v="80"/>
    <n v="68"/>
    <x v="2"/>
    <x v="0"/>
  </r>
  <r>
    <x v="680"/>
    <n v="2"/>
    <n v="8"/>
    <n v="6"/>
    <n v="2"/>
    <n v="10"/>
    <n v="5"/>
    <n v="168"/>
    <n v="1"/>
    <n v="75"/>
    <n v="5.6"/>
    <n v="56"/>
    <n v="60"/>
    <n v="35"/>
    <n v="51"/>
    <x v="2"/>
    <x v="0"/>
  </r>
  <r>
    <x v="681"/>
    <n v="3"/>
    <n v="7"/>
    <n v="9"/>
    <n v="10"/>
    <n v="2"/>
    <n v="3"/>
    <n v="389"/>
    <n v="2"/>
    <n v="44"/>
    <n v="6.2"/>
    <n v="62"/>
    <n v="80"/>
    <n v="35"/>
    <n v="59"/>
    <x v="1"/>
    <x v="0"/>
  </r>
  <r>
    <x v="682"/>
    <n v="3"/>
    <n v="7"/>
    <n v="1"/>
    <n v="6"/>
    <n v="1"/>
    <n v="4"/>
    <n v="240"/>
    <n v="2"/>
    <n v="91"/>
    <n v="3.6"/>
    <n v="36"/>
    <n v="60"/>
    <n v="40"/>
    <n v="44"/>
    <x v="2"/>
    <x v="0"/>
  </r>
  <r>
    <x v="683"/>
    <n v="2"/>
    <n v="8"/>
    <n v="5"/>
    <n v="7"/>
    <n v="5"/>
    <n v="5"/>
    <n v="180"/>
    <n v="4"/>
    <n v="67"/>
    <n v="5.4"/>
    <n v="54"/>
    <n v="60"/>
    <n v="65"/>
    <n v="59"/>
    <x v="0"/>
    <x v="0"/>
  </r>
  <r>
    <x v="684"/>
    <n v="10"/>
    <n v="5"/>
    <n v="2"/>
    <n v="6"/>
    <n v="7"/>
    <n v="5"/>
    <n v="266"/>
    <n v="2"/>
    <n v="88"/>
    <n v="6"/>
    <n v="60"/>
    <n v="80"/>
    <n v="45"/>
    <n v="62"/>
    <x v="2"/>
    <x v="0"/>
  </r>
  <r>
    <x v="685"/>
    <n v="10"/>
    <n v="1"/>
    <n v="3"/>
    <n v="9"/>
    <n v="8"/>
    <n v="4"/>
    <n v="434"/>
    <n v="5"/>
    <n v="72"/>
    <n v="6.2"/>
    <n v="62"/>
    <n v="100"/>
    <n v="70"/>
    <n v="76"/>
    <x v="0"/>
    <x v="1"/>
  </r>
  <r>
    <x v="686"/>
    <n v="1"/>
    <n v="10"/>
    <n v="5"/>
    <n v="5"/>
    <n v="1"/>
    <n v="2"/>
    <n v="226"/>
    <n v="3"/>
    <n v="87"/>
    <n v="4.4000000000000004"/>
    <n v="44"/>
    <n v="60"/>
    <n v="40"/>
    <n v="48"/>
    <x v="2"/>
    <x v="0"/>
  </r>
  <r>
    <x v="687"/>
    <n v="6"/>
    <n v="2"/>
    <n v="10"/>
    <n v="7"/>
    <n v="4"/>
    <n v="6"/>
    <n v="56"/>
    <n v="1"/>
    <n v="83"/>
    <n v="5.8"/>
    <n v="58"/>
    <n v="40"/>
    <n v="40"/>
    <n v="47"/>
    <x v="2"/>
    <x v="0"/>
  </r>
  <r>
    <x v="688"/>
    <n v="10"/>
    <n v="9"/>
    <n v="10"/>
    <n v="5"/>
    <n v="4"/>
    <n v="0"/>
    <n v="124"/>
    <n v="5"/>
    <n v="66"/>
    <n v="7.6"/>
    <n v="76"/>
    <n v="40"/>
    <n v="50"/>
    <n v="57"/>
    <x v="0"/>
    <x v="0"/>
  </r>
  <r>
    <x v="689"/>
    <n v="4"/>
    <n v="8"/>
    <n v="1"/>
    <n v="7"/>
    <n v="6"/>
    <n v="0"/>
    <n v="126"/>
    <n v="0"/>
    <n v="65"/>
    <n v="5.2"/>
    <n v="52"/>
    <n v="40"/>
    <n v="0"/>
    <n v="33"/>
    <x v="0"/>
    <x v="2"/>
  </r>
  <r>
    <x v="690"/>
    <n v="6"/>
    <n v="4"/>
    <n v="1"/>
    <n v="3"/>
    <n v="5"/>
    <n v="7"/>
    <n v="416"/>
    <n v="0"/>
    <n v="46"/>
    <n v="3.8"/>
    <n v="38"/>
    <n v="100"/>
    <n v="35"/>
    <n v="56"/>
    <x v="1"/>
    <x v="0"/>
  </r>
  <r>
    <x v="691"/>
    <n v="9"/>
    <n v="3"/>
    <n v="7"/>
    <n v="6"/>
    <n v="4"/>
    <n v="1"/>
    <n v="392"/>
    <n v="5"/>
    <n v="54"/>
    <n v="5.8"/>
    <n v="58"/>
    <n v="80"/>
    <n v="55"/>
    <n v="64"/>
    <x v="0"/>
    <x v="0"/>
  </r>
  <r>
    <x v="692"/>
    <n v="2"/>
    <n v="2"/>
    <n v="9"/>
    <n v="4"/>
    <n v="9"/>
    <n v="5"/>
    <n v="436"/>
    <n v="5"/>
    <n v="57"/>
    <n v="5.2"/>
    <n v="52"/>
    <n v="100"/>
    <n v="75"/>
    <n v="73"/>
    <x v="0"/>
    <x v="1"/>
  </r>
  <r>
    <x v="693"/>
    <n v="7"/>
    <n v="1"/>
    <n v="1"/>
    <n v="2"/>
    <n v="3"/>
    <n v="2"/>
    <n v="245"/>
    <n v="3"/>
    <n v="82"/>
    <n v="2.8"/>
    <n v="28"/>
    <n v="60"/>
    <n v="40"/>
    <n v="41"/>
    <x v="2"/>
    <x v="0"/>
  </r>
  <r>
    <x v="694"/>
    <n v="1"/>
    <n v="7"/>
    <n v="4"/>
    <n v="10"/>
    <n v="2"/>
    <n v="7"/>
    <n v="375"/>
    <n v="1"/>
    <n v="53"/>
    <n v="4.8"/>
    <n v="48"/>
    <n v="80"/>
    <n v="45"/>
    <n v="57"/>
    <x v="0"/>
    <x v="0"/>
  </r>
  <r>
    <x v="695"/>
    <n v="10"/>
    <n v="7"/>
    <n v="10"/>
    <n v="5"/>
    <n v="4"/>
    <n v="1"/>
    <n v="68"/>
    <n v="2"/>
    <n v="70"/>
    <n v="7.2"/>
    <n v="72"/>
    <n v="40"/>
    <n v="25"/>
    <n v="48"/>
    <x v="0"/>
    <x v="0"/>
  </r>
  <r>
    <x v="696"/>
    <n v="7"/>
    <n v="4"/>
    <n v="1"/>
    <n v="3"/>
    <n v="10"/>
    <n v="5"/>
    <n v="413"/>
    <n v="0"/>
    <n v="87"/>
    <n v="5"/>
    <n v="50"/>
    <n v="100"/>
    <n v="25"/>
    <n v="58"/>
    <x v="2"/>
    <x v="0"/>
  </r>
  <r>
    <x v="697"/>
    <n v="1"/>
    <n v="1"/>
    <n v="1"/>
    <n v="4"/>
    <n v="2"/>
    <n v="4"/>
    <n v="418"/>
    <n v="4"/>
    <n v="54"/>
    <n v="1.8"/>
    <n v="18"/>
    <n v="100"/>
    <n v="60"/>
    <n v="55"/>
    <x v="0"/>
    <x v="0"/>
  </r>
  <r>
    <x v="698"/>
    <n v="8"/>
    <n v="5"/>
    <n v="5"/>
    <n v="2"/>
    <n v="3"/>
    <n v="5"/>
    <n v="263"/>
    <n v="0"/>
    <n v="66"/>
    <n v="4.5999999999999996"/>
    <n v="46"/>
    <n v="80"/>
    <n v="25"/>
    <n v="50"/>
    <x v="0"/>
    <x v="0"/>
  </r>
  <r>
    <x v="699"/>
    <n v="6"/>
    <n v="9"/>
    <n v="6"/>
    <n v="5"/>
    <n v="6"/>
    <n v="2"/>
    <n v="241"/>
    <n v="3"/>
    <n v="59"/>
    <n v="6.4"/>
    <n v="64"/>
    <n v="60"/>
    <n v="40"/>
    <n v="56"/>
    <x v="0"/>
    <x v="0"/>
  </r>
  <r>
    <x v="700"/>
    <n v="8"/>
    <n v="10"/>
    <n v="3"/>
    <n v="10"/>
    <n v="6"/>
    <n v="8"/>
    <n v="470"/>
    <n v="3"/>
    <n v="48"/>
    <n v="7.4"/>
    <n v="74"/>
    <n v="100"/>
    <n v="70"/>
    <n v="81"/>
    <x v="1"/>
    <x v="1"/>
  </r>
  <r>
    <x v="701"/>
    <n v="10"/>
    <n v="3"/>
    <n v="3"/>
    <n v="6"/>
    <n v="6"/>
    <n v="8"/>
    <n v="303"/>
    <n v="0"/>
    <n v="46"/>
    <n v="5.6"/>
    <n v="56"/>
    <n v="80"/>
    <n v="40"/>
    <n v="58"/>
    <x v="1"/>
    <x v="0"/>
  </r>
  <r>
    <x v="702"/>
    <n v="7"/>
    <n v="1"/>
    <n v="10"/>
    <n v="2"/>
    <n v="2"/>
    <n v="2"/>
    <n v="433"/>
    <n v="0"/>
    <n v="78"/>
    <n v="4.4000000000000004"/>
    <n v="44"/>
    <n v="100"/>
    <n v="10"/>
    <n v="51"/>
    <x v="2"/>
    <x v="0"/>
  </r>
  <r>
    <x v="703"/>
    <n v="10"/>
    <n v="4"/>
    <n v="10"/>
    <n v="9"/>
    <n v="5"/>
    <n v="5"/>
    <n v="207"/>
    <n v="5"/>
    <n v="76"/>
    <n v="7.6"/>
    <n v="76"/>
    <n v="60"/>
    <n v="75"/>
    <n v="71"/>
    <x v="2"/>
    <x v="1"/>
  </r>
  <r>
    <x v="704"/>
    <n v="9"/>
    <n v="3"/>
    <n v="5"/>
    <n v="3"/>
    <n v="2"/>
    <n v="7"/>
    <n v="211"/>
    <n v="5"/>
    <n v="84"/>
    <n v="4.4000000000000004"/>
    <n v="44"/>
    <n v="60"/>
    <n v="85"/>
    <n v="61"/>
    <x v="2"/>
    <x v="0"/>
  </r>
  <r>
    <x v="705"/>
    <n v="3"/>
    <n v="7"/>
    <n v="6"/>
    <n v="2"/>
    <n v="4"/>
    <n v="7"/>
    <n v="228"/>
    <n v="2"/>
    <n v="79"/>
    <n v="4.4000000000000004"/>
    <n v="44"/>
    <n v="60"/>
    <n v="55"/>
    <n v="52"/>
    <x v="2"/>
    <x v="0"/>
  </r>
  <r>
    <x v="706"/>
    <n v="10"/>
    <n v="6"/>
    <n v="7"/>
    <n v="5"/>
    <n v="2"/>
    <n v="4"/>
    <n v="344"/>
    <n v="3"/>
    <n v="67"/>
    <n v="6"/>
    <n v="60"/>
    <n v="80"/>
    <n v="50"/>
    <n v="63"/>
    <x v="0"/>
    <x v="0"/>
  </r>
  <r>
    <x v="707"/>
    <n v="2"/>
    <n v="8"/>
    <n v="2"/>
    <n v="10"/>
    <n v="6"/>
    <n v="6"/>
    <n v="488"/>
    <n v="1"/>
    <n v="70"/>
    <n v="5.6"/>
    <n v="56"/>
    <n v="100"/>
    <n v="40"/>
    <n v="64"/>
    <x v="0"/>
    <x v="0"/>
  </r>
  <r>
    <x v="708"/>
    <n v="3"/>
    <n v="4"/>
    <n v="4"/>
    <n v="1"/>
    <n v="5"/>
    <n v="6"/>
    <n v="211"/>
    <n v="1"/>
    <n v="43"/>
    <n v="3.4"/>
    <n v="34"/>
    <n v="60"/>
    <n v="40"/>
    <n v="44"/>
    <x v="1"/>
    <x v="0"/>
  </r>
  <r>
    <x v="709"/>
    <n v="2"/>
    <n v="7"/>
    <n v="10"/>
    <n v="9"/>
    <n v="10"/>
    <n v="7"/>
    <n v="329"/>
    <n v="3"/>
    <n v="70"/>
    <n v="7.6"/>
    <n v="76"/>
    <n v="80"/>
    <n v="65"/>
    <n v="74"/>
    <x v="0"/>
    <x v="1"/>
  </r>
  <r>
    <x v="710"/>
    <n v="9"/>
    <n v="7"/>
    <n v="10"/>
    <n v="10"/>
    <n v="7"/>
    <n v="8"/>
    <n v="193"/>
    <n v="3"/>
    <n v="67"/>
    <n v="8.6"/>
    <n v="86"/>
    <n v="60"/>
    <n v="70"/>
    <n v="73"/>
    <x v="0"/>
    <x v="1"/>
  </r>
  <r>
    <x v="711"/>
    <n v="1"/>
    <n v="3"/>
    <n v="3"/>
    <n v="7"/>
    <n v="2"/>
    <n v="6"/>
    <n v="307"/>
    <n v="0"/>
    <n v="49"/>
    <n v="3.2"/>
    <n v="32"/>
    <n v="80"/>
    <n v="30"/>
    <n v="46"/>
    <x v="1"/>
    <x v="0"/>
  </r>
  <r>
    <x v="712"/>
    <n v="10"/>
    <n v="1"/>
    <n v="4"/>
    <n v="4"/>
    <n v="9"/>
    <n v="8"/>
    <n v="275"/>
    <n v="5"/>
    <n v="78"/>
    <n v="5.6"/>
    <n v="56"/>
    <n v="80"/>
    <n v="90"/>
    <n v="73"/>
    <x v="2"/>
    <x v="1"/>
  </r>
  <r>
    <x v="713"/>
    <n v="6"/>
    <n v="8"/>
    <n v="3"/>
    <n v="6"/>
    <n v="5"/>
    <n v="1"/>
    <n v="410"/>
    <n v="5"/>
    <n v="89"/>
    <n v="5.6"/>
    <n v="56"/>
    <n v="100"/>
    <n v="55"/>
    <n v="69"/>
    <x v="2"/>
    <x v="0"/>
  </r>
  <r>
    <x v="714"/>
    <n v="1"/>
    <n v="1"/>
    <n v="10"/>
    <n v="4"/>
    <n v="3"/>
    <n v="4"/>
    <n v="152"/>
    <n v="2"/>
    <n v="48"/>
    <n v="3.8"/>
    <n v="38"/>
    <n v="60"/>
    <n v="40"/>
    <n v="45"/>
    <x v="1"/>
    <x v="0"/>
  </r>
  <r>
    <x v="715"/>
    <n v="4"/>
    <n v="8"/>
    <n v="4"/>
    <n v="5"/>
    <n v="10"/>
    <n v="5"/>
    <n v="389"/>
    <n v="0"/>
    <n v="41"/>
    <n v="6.2"/>
    <n v="62"/>
    <n v="80"/>
    <n v="25"/>
    <n v="56"/>
    <x v="1"/>
    <x v="0"/>
  </r>
  <r>
    <x v="716"/>
    <n v="4"/>
    <n v="2"/>
    <n v="5"/>
    <n v="7"/>
    <n v="4"/>
    <n v="3"/>
    <n v="209"/>
    <n v="3"/>
    <n v="51"/>
    <n v="4.4000000000000004"/>
    <n v="44"/>
    <n v="60"/>
    <n v="45"/>
    <n v="49"/>
    <x v="0"/>
    <x v="0"/>
  </r>
  <r>
    <x v="717"/>
    <n v="6"/>
    <n v="1"/>
    <n v="5"/>
    <n v="6"/>
    <n v="5"/>
    <n v="5"/>
    <n v="148"/>
    <n v="2"/>
    <n v="78"/>
    <n v="4.5999999999999996"/>
    <n v="46"/>
    <n v="40"/>
    <n v="45"/>
    <n v="44"/>
    <x v="2"/>
    <x v="0"/>
  </r>
  <r>
    <x v="718"/>
    <n v="6"/>
    <n v="5"/>
    <n v="1"/>
    <n v="2"/>
    <n v="9"/>
    <n v="4"/>
    <n v="251"/>
    <n v="3"/>
    <n v="85"/>
    <n v="4.5999999999999996"/>
    <n v="46"/>
    <n v="80"/>
    <n v="50"/>
    <n v="57"/>
    <x v="2"/>
    <x v="0"/>
  </r>
  <r>
    <x v="719"/>
    <n v="2"/>
    <n v="5"/>
    <n v="9"/>
    <n v="2"/>
    <n v="8"/>
    <n v="6"/>
    <n v="99"/>
    <n v="5"/>
    <n v="60"/>
    <n v="5.2"/>
    <n v="52"/>
    <n v="40"/>
    <n v="80"/>
    <n v="57"/>
    <x v="0"/>
    <x v="0"/>
  </r>
  <r>
    <x v="720"/>
    <n v="9"/>
    <n v="10"/>
    <n v="4"/>
    <n v="4"/>
    <n v="5"/>
    <n v="1"/>
    <n v="380"/>
    <n v="1"/>
    <n v="58"/>
    <n v="6.4"/>
    <n v="64"/>
    <n v="80"/>
    <n v="15"/>
    <n v="54"/>
    <x v="0"/>
    <x v="0"/>
  </r>
  <r>
    <x v="721"/>
    <n v="1"/>
    <n v="9"/>
    <n v="2"/>
    <n v="3"/>
    <n v="9"/>
    <n v="5"/>
    <n v="138"/>
    <n v="3"/>
    <n v="79"/>
    <n v="4.8"/>
    <n v="48"/>
    <n v="40"/>
    <n v="55"/>
    <n v="48"/>
    <x v="2"/>
    <x v="0"/>
  </r>
  <r>
    <x v="722"/>
    <n v="1"/>
    <n v="10"/>
    <n v="5"/>
    <n v="7"/>
    <n v="5"/>
    <n v="8"/>
    <n v="453"/>
    <n v="5"/>
    <n v="90"/>
    <n v="5.6"/>
    <n v="56"/>
    <n v="100"/>
    <n v="90"/>
    <n v="79"/>
    <x v="2"/>
    <x v="1"/>
  </r>
  <r>
    <x v="723"/>
    <n v="3"/>
    <n v="1"/>
    <n v="7"/>
    <n v="1"/>
    <n v="5"/>
    <n v="3"/>
    <n v="290"/>
    <n v="4"/>
    <n v="95"/>
    <n v="3.4"/>
    <n v="34"/>
    <n v="80"/>
    <n v="55"/>
    <n v="54"/>
    <x v="2"/>
    <x v="0"/>
  </r>
  <r>
    <x v="724"/>
    <n v="6"/>
    <n v="3"/>
    <n v="4"/>
    <n v="1"/>
    <n v="2"/>
    <n v="6"/>
    <n v="367"/>
    <n v="3"/>
    <n v="88"/>
    <n v="3.2"/>
    <n v="32"/>
    <n v="80"/>
    <n v="60"/>
    <n v="55"/>
    <x v="2"/>
    <x v="0"/>
  </r>
  <r>
    <x v="725"/>
    <n v="7"/>
    <n v="5"/>
    <n v="3"/>
    <n v="1"/>
    <n v="1"/>
    <n v="4"/>
    <n v="465"/>
    <n v="3"/>
    <n v="73"/>
    <n v="3.4"/>
    <n v="34"/>
    <n v="100"/>
    <n v="50"/>
    <n v="59"/>
    <x v="0"/>
    <x v="0"/>
  </r>
  <r>
    <x v="726"/>
    <n v="7"/>
    <n v="3"/>
    <n v="6"/>
    <n v="8"/>
    <n v="6"/>
    <n v="3"/>
    <n v="499"/>
    <n v="5"/>
    <n v="81"/>
    <n v="6"/>
    <n v="60"/>
    <n v="100"/>
    <n v="65"/>
    <n v="74"/>
    <x v="2"/>
    <x v="1"/>
  </r>
  <r>
    <x v="727"/>
    <n v="4"/>
    <n v="8"/>
    <n v="4"/>
    <n v="10"/>
    <n v="8"/>
    <n v="2"/>
    <n v="186"/>
    <n v="3"/>
    <n v="60"/>
    <n v="6.8"/>
    <n v="68"/>
    <n v="60"/>
    <n v="40"/>
    <n v="57"/>
    <x v="0"/>
    <x v="0"/>
  </r>
  <r>
    <x v="728"/>
    <n v="2"/>
    <n v="1"/>
    <n v="1"/>
    <n v="4"/>
    <n v="1"/>
    <n v="8"/>
    <n v="394"/>
    <n v="5"/>
    <n v="43"/>
    <n v="1.8"/>
    <n v="18"/>
    <n v="80"/>
    <n v="90"/>
    <n v="58"/>
    <x v="1"/>
    <x v="0"/>
  </r>
  <r>
    <x v="729"/>
    <n v="7"/>
    <n v="9"/>
    <n v="6"/>
    <n v="6"/>
    <n v="8"/>
    <n v="0"/>
    <n v="136"/>
    <n v="0"/>
    <n v="59"/>
    <n v="7.2"/>
    <n v="72"/>
    <n v="40"/>
    <n v="0"/>
    <n v="41"/>
    <x v="0"/>
    <x v="0"/>
  </r>
  <r>
    <x v="730"/>
    <n v="10"/>
    <n v="10"/>
    <n v="4"/>
    <n v="4"/>
    <n v="9"/>
    <n v="1"/>
    <n v="59"/>
    <n v="5"/>
    <n v="43"/>
    <n v="7.4"/>
    <n v="74"/>
    <n v="40"/>
    <n v="55"/>
    <n v="58"/>
    <x v="1"/>
    <x v="0"/>
  </r>
  <r>
    <x v="731"/>
    <n v="6"/>
    <n v="6"/>
    <n v="2"/>
    <n v="4"/>
    <n v="7"/>
    <n v="4"/>
    <n v="250"/>
    <n v="5"/>
    <n v="46"/>
    <n v="5"/>
    <n v="50"/>
    <n v="80"/>
    <n v="70"/>
    <n v="65"/>
    <x v="1"/>
    <x v="0"/>
  </r>
  <r>
    <x v="732"/>
    <n v="8"/>
    <n v="3"/>
    <n v="5"/>
    <n v="3"/>
    <n v="3"/>
    <n v="8"/>
    <n v="121"/>
    <n v="5"/>
    <n v="67"/>
    <n v="4.4000000000000004"/>
    <n v="44"/>
    <n v="40"/>
    <n v="90"/>
    <n v="57"/>
    <x v="0"/>
    <x v="0"/>
  </r>
  <r>
    <x v="733"/>
    <n v="3"/>
    <n v="9"/>
    <n v="9"/>
    <n v="5"/>
    <n v="9"/>
    <n v="5"/>
    <n v="162"/>
    <n v="1"/>
    <n v="47"/>
    <n v="7"/>
    <n v="70"/>
    <n v="60"/>
    <n v="35"/>
    <n v="57"/>
    <x v="1"/>
    <x v="0"/>
  </r>
  <r>
    <x v="734"/>
    <n v="7"/>
    <n v="9"/>
    <n v="2"/>
    <n v="3"/>
    <n v="4"/>
    <n v="7"/>
    <n v="418"/>
    <n v="2"/>
    <n v="73"/>
    <n v="5"/>
    <n v="50"/>
    <n v="100"/>
    <n v="55"/>
    <n v="67"/>
    <x v="0"/>
    <x v="0"/>
  </r>
  <r>
    <x v="735"/>
    <n v="6"/>
    <n v="8"/>
    <n v="2"/>
    <n v="6"/>
    <n v="7"/>
    <n v="8"/>
    <n v="483"/>
    <n v="5"/>
    <n v="56"/>
    <n v="5.8"/>
    <n v="58"/>
    <n v="100"/>
    <n v="90"/>
    <n v="80"/>
    <x v="0"/>
    <x v="1"/>
  </r>
  <r>
    <x v="736"/>
    <n v="10"/>
    <n v="8"/>
    <n v="7"/>
    <n v="5"/>
    <n v="5"/>
    <n v="8"/>
    <n v="390"/>
    <n v="3"/>
    <n v="41"/>
    <n v="7"/>
    <n v="70"/>
    <n v="80"/>
    <n v="70"/>
    <n v="73"/>
    <x v="1"/>
    <x v="1"/>
  </r>
  <r>
    <x v="737"/>
    <n v="10"/>
    <n v="9"/>
    <n v="3"/>
    <n v="2"/>
    <n v="2"/>
    <n v="6"/>
    <n v="431"/>
    <n v="1"/>
    <n v="50"/>
    <n v="5.2"/>
    <n v="52"/>
    <n v="100"/>
    <n v="40"/>
    <n v="63"/>
    <x v="0"/>
    <x v="0"/>
  </r>
  <r>
    <x v="738"/>
    <n v="8"/>
    <n v="1"/>
    <n v="2"/>
    <n v="3"/>
    <n v="10"/>
    <n v="2"/>
    <n v="233"/>
    <n v="5"/>
    <n v="75"/>
    <n v="4.8"/>
    <n v="48"/>
    <n v="60"/>
    <n v="60"/>
    <n v="55"/>
    <x v="2"/>
    <x v="0"/>
  </r>
  <r>
    <x v="739"/>
    <n v="1"/>
    <n v="10"/>
    <n v="7"/>
    <n v="2"/>
    <n v="1"/>
    <n v="5"/>
    <n v="90"/>
    <n v="3"/>
    <n v="54"/>
    <n v="4.2"/>
    <n v="42"/>
    <n v="40"/>
    <n v="55"/>
    <n v="45"/>
    <x v="0"/>
    <x v="0"/>
  </r>
  <r>
    <x v="740"/>
    <n v="4"/>
    <n v="10"/>
    <n v="1"/>
    <n v="3"/>
    <n v="10"/>
    <n v="0"/>
    <n v="142"/>
    <n v="5"/>
    <n v="86"/>
    <n v="5.6"/>
    <n v="56"/>
    <n v="40"/>
    <n v="50"/>
    <n v="49"/>
    <x v="2"/>
    <x v="0"/>
  </r>
  <r>
    <x v="741"/>
    <n v="6"/>
    <n v="10"/>
    <n v="4"/>
    <n v="8"/>
    <n v="2"/>
    <n v="7"/>
    <n v="186"/>
    <n v="3"/>
    <n v="89"/>
    <n v="6"/>
    <n v="60"/>
    <n v="60"/>
    <n v="65"/>
    <n v="62"/>
    <x v="2"/>
    <x v="0"/>
  </r>
  <r>
    <x v="742"/>
    <n v="10"/>
    <n v="5"/>
    <n v="2"/>
    <n v="3"/>
    <n v="6"/>
    <n v="0"/>
    <n v="409"/>
    <n v="4"/>
    <n v="60"/>
    <n v="5.2"/>
    <n v="52"/>
    <n v="100"/>
    <n v="40"/>
    <n v="63"/>
    <x v="0"/>
    <x v="0"/>
  </r>
  <r>
    <x v="743"/>
    <n v="3"/>
    <n v="5"/>
    <n v="5"/>
    <n v="10"/>
    <n v="7"/>
    <n v="6"/>
    <n v="355"/>
    <n v="1"/>
    <n v="60"/>
    <n v="6"/>
    <n v="60"/>
    <n v="80"/>
    <n v="40"/>
    <n v="60"/>
    <x v="0"/>
    <x v="0"/>
  </r>
  <r>
    <x v="744"/>
    <n v="4"/>
    <n v="6"/>
    <n v="9"/>
    <n v="9"/>
    <n v="1"/>
    <n v="1"/>
    <n v="231"/>
    <n v="2"/>
    <n v="63"/>
    <n v="5.8"/>
    <n v="58"/>
    <n v="60"/>
    <n v="25"/>
    <n v="49"/>
    <x v="0"/>
    <x v="0"/>
  </r>
  <r>
    <x v="745"/>
    <n v="7"/>
    <n v="5"/>
    <n v="3"/>
    <n v="1"/>
    <n v="3"/>
    <n v="0"/>
    <n v="278"/>
    <n v="5"/>
    <n v="50"/>
    <n v="3.8"/>
    <n v="38"/>
    <n v="80"/>
    <n v="50"/>
    <n v="54"/>
    <x v="0"/>
    <x v="0"/>
  </r>
  <r>
    <x v="746"/>
    <n v="4"/>
    <n v="2"/>
    <n v="4"/>
    <n v="6"/>
    <n v="9"/>
    <n v="5"/>
    <n v="74"/>
    <n v="5"/>
    <n v="52"/>
    <n v="5"/>
    <n v="50"/>
    <n v="40"/>
    <n v="75"/>
    <n v="55"/>
    <x v="0"/>
    <x v="0"/>
  </r>
  <r>
    <x v="747"/>
    <n v="1"/>
    <n v="9"/>
    <n v="10"/>
    <n v="4"/>
    <n v="4"/>
    <n v="7"/>
    <n v="448"/>
    <n v="2"/>
    <n v="85"/>
    <n v="5.6"/>
    <n v="56"/>
    <n v="100"/>
    <n v="55"/>
    <n v="69"/>
    <x v="2"/>
    <x v="0"/>
  </r>
  <r>
    <x v="748"/>
    <n v="1"/>
    <n v="7"/>
    <n v="4"/>
    <n v="6"/>
    <n v="10"/>
    <n v="1"/>
    <n v="273"/>
    <n v="4"/>
    <n v="88"/>
    <n v="5.6"/>
    <n v="56"/>
    <n v="80"/>
    <n v="45"/>
    <n v="60"/>
    <x v="2"/>
    <x v="0"/>
  </r>
  <r>
    <x v="749"/>
    <n v="9"/>
    <n v="8"/>
    <n v="7"/>
    <n v="7"/>
    <n v="2"/>
    <n v="1"/>
    <n v="64"/>
    <n v="0"/>
    <n v="82"/>
    <n v="6.6"/>
    <n v="66"/>
    <n v="40"/>
    <n v="5"/>
    <n v="40"/>
    <x v="2"/>
    <x v="0"/>
  </r>
  <r>
    <x v="750"/>
    <n v="2"/>
    <n v="6"/>
    <n v="4"/>
    <n v="8"/>
    <n v="6"/>
    <n v="6"/>
    <n v="227"/>
    <n v="1"/>
    <n v="40"/>
    <n v="5.2"/>
    <n v="52"/>
    <n v="60"/>
    <n v="40"/>
    <n v="51"/>
    <x v="1"/>
    <x v="0"/>
  </r>
  <r>
    <x v="751"/>
    <n v="4"/>
    <n v="9"/>
    <n v="1"/>
    <n v="5"/>
    <n v="1"/>
    <n v="4"/>
    <n v="165"/>
    <n v="2"/>
    <n v="47"/>
    <n v="4"/>
    <n v="40"/>
    <n v="60"/>
    <n v="40"/>
    <n v="46"/>
    <x v="1"/>
    <x v="0"/>
  </r>
  <r>
    <x v="752"/>
    <n v="8"/>
    <n v="7"/>
    <n v="3"/>
    <n v="9"/>
    <n v="6"/>
    <n v="8"/>
    <n v="249"/>
    <n v="3"/>
    <n v="91"/>
    <n v="6.6"/>
    <n v="66"/>
    <n v="60"/>
    <n v="70"/>
    <n v="65"/>
    <x v="2"/>
    <x v="0"/>
  </r>
  <r>
    <x v="753"/>
    <n v="9"/>
    <n v="10"/>
    <n v="9"/>
    <n v="7"/>
    <n v="7"/>
    <n v="3"/>
    <n v="352"/>
    <n v="2"/>
    <n v="93"/>
    <n v="8.4"/>
    <n v="84"/>
    <n v="80"/>
    <n v="35"/>
    <n v="68"/>
    <x v="2"/>
    <x v="0"/>
  </r>
  <r>
    <x v="754"/>
    <n v="8"/>
    <n v="1"/>
    <n v="3"/>
    <n v="3"/>
    <n v="5"/>
    <n v="1"/>
    <n v="178"/>
    <n v="2"/>
    <n v="53"/>
    <n v="4"/>
    <n v="40"/>
    <n v="60"/>
    <n v="25"/>
    <n v="42"/>
    <x v="0"/>
    <x v="0"/>
  </r>
  <r>
    <x v="755"/>
    <n v="9"/>
    <n v="6"/>
    <n v="6"/>
    <n v="3"/>
    <n v="8"/>
    <n v="5"/>
    <n v="264"/>
    <n v="3"/>
    <n v="67"/>
    <n v="6.4"/>
    <n v="64"/>
    <n v="80"/>
    <n v="55"/>
    <n v="66"/>
    <x v="0"/>
    <x v="0"/>
  </r>
  <r>
    <x v="756"/>
    <n v="9"/>
    <n v="10"/>
    <n v="9"/>
    <n v="2"/>
    <n v="9"/>
    <n v="6"/>
    <n v="205"/>
    <n v="4"/>
    <n v="59"/>
    <n v="7.8"/>
    <n v="78"/>
    <n v="60"/>
    <n v="70"/>
    <n v="70"/>
    <x v="0"/>
    <x v="0"/>
  </r>
  <r>
    <x v="757"/>
    <n v="4"/>
    <n v="3"/>
    <n v="2"/>
    <n v="4"/>
    <n v="6"/>
    <n v="1"/>
    <n v="466"/>
    <n v="0"/>
    <n v="84"/>
    <n v="3.8"/>
    <n v="38"/>
    <n v="100"/>
    <n v="5"/>
    <n v="47"/>
    <x v="2"/>
    <x v="0"/>
  </r>
  <r>
    <x v="758"/>
    <n v="8"/>
    <n v="7"/>
    <n v="6"/>
    <n v="7"/>
    <n v="2"/>
    <n v="3"/>
    <n v="458"/>
    <n v="5"/>
    <n v="62"/>
    <n v="6"/>
    <n v="60"/>
    <n v="100"/>
    <n v="65"/>
    <n v="74"/>
    <x v="0"/>
    <x v="1"/>
  </r>
  <r>
    <x v="759"/>
    <n v="6"/>
    <n v="5"/>
    <n v="4"/>
    <n v="7"/>
    <n v="5"/>
    <n v="1"/>
    <n v="488"/>
    <n v="5"/>
    <n v="86"/>
    <n v="5.4"/>
    <n v="54"/>
    <n v="100"/>
    <n v="55"/>
    <n v="68"/>
    <x v="2"/>
    <x v="0"/>
  </r>
  <r>
    <x v="760"/>
    <n v="5"/>
    <n v="8"/>
    <n v="1"/>
    <n v="3"/>
    <n v="7"/>
    <n v="2"/>
    <n v="421"/>
    <n v="5"/>
    <n v="42"/>
    <n v="4.8"/>
    <n v="48"/>
    <n v="100"/>
    <n v="60"/>
    <n v="67"/>
    <x v="1"/>
    <x v="0"/>
  </r>
  <r>
    <x v="761"/>
    <n v="7"/>
    <n v="8"/>
    <n v="2"/>
    <n v="3"/>
    <n v="9"/>
    <n v="0"/>
    <n v="459"/>
    <n v="4"/>
    <n v="95"/>
    <n v="5.8"/>
    <n v="58"/>
    <n v="100"/>
    <n v="40"/>
    <n v="65"/>
    <x v="2"/>
    <x v="0"/>
  </r>
  <r>
    <x v="762"/>
    <n v="10"/>
    <n v="2"/>
    <n v="1"/>
    <n v="8"/>
    <n v="8"/>
    <n v="6"/>
    <n v="337"/>
    <n v="5"/>
    <n v="88"/>
    <n v="5.8"/>
    <n v="58"/>
    <n v="80"/>
    <n v="80"/>
    <n v="71"/>
    <x v="2"/>
    <x v="1"/>
  </r>
  <r>
    <x v="763"/>
    <n v="1"/>
    <n v="7"/>
    <n v="3"/>
    <n v="10"/>
    <n v="5"/>
    <n v="7"/>
    <n v="474"/>
    <n v="3"/>
    <n v="82"/>
    <n v="5.2"/>
    <n v="52"/>
    <n v="100"/>
    <n v="65"/>
    <n v="70"/>
    <x v="2"/>
    <x v="0"/>
  </r>
  <r>
    <x v="764"/>
    <n v="7"/>
    <n v="5"/>
    <n v="7"/>
    <n v="8"/>
    <n v="2"/>
    <n v="0"/>
    <n v="439"/>
    <n v="1"/>
    <n v="45"/>
    <n v="5.8"/>
    <n v="58"/>
    <n v="100"/>
    <n v="10"/>
    <n v="56"/>
    <x v="1"/>
    <x v="0"/>
  </r>
  <r>
    <x v="765"/>
    <n v="3"/>
    <n v="4"/>
    <n v="2"/>
    <n v="2"/>
    <n v="5"/>
    <n v="2"/>
    <n v="324"/>
    <n v="0"/>
    <n v="77"/>
    <n v="3.2"/>
    <n v="32"/>
    <n v="80"/>
    <n v="10"/>
    <n v="40"/>
    <x v="2"/>
    <x v="0"/>
  </r>
  <r>
    <x v="766"/>
    <n v="1"/>
    <n v="6"/>
    <n v="1"/>
    <n v="1"/>
    <n v="9"/>
    <n v="0"/>
    <n v="60"/>
    <n v="4"/>
    <n v="46"/>
    <n v="3.6"/>
    <n v="36"/>
    <n v="40"/>
    <n v="40"/>
    <n v="38"/>
    <x v="1"/>
    <x v="2"/>
  </r>
  <r>
    <x v="767"/>
    <n v="9"/>
    <n v="2"/>
    <n v="5"/>
    <n v="5"/>
    <n v="6"/>
    <n v="0"/>
    <n v="138"/>
    <n v="2"/>
    <n v="81"/>
    <n v="5.4"/>
    <n v="54"/>
    <n v="40"/>
    <n v="20"/>
    <n v="40"/>
    <x v="2"/>
    <x v="0"/>
  </r>
  <r>
    <x v="768"/>
    <n v="5"/>
    <n v="7"/>
    <n v="1"/>
    <n v="3"/>
    <n v="8"/>
    <n v="8"/>
    <n v="331"/>
    <n v="1"/>
    <n v="74"/>
    <n v="4.8"/>
    <n v="48"/>
    <n v="80"/>
    <n v="50"/>
    <n v="58"/>
    <x v="0"/>
    <x v="0"/>
  </r>
  <r>
    <x v="769"/>
    <n v="6"/>
    <n v="1"/>
    <n v="9"/>
    <n v="3"/>
    <n v="5"/>
    <n v="1"/>
    <n v="391"/>
    <n v="5"/>
    <n v="64"/>
    <n v="4.8"/>
    <n v="48"/>
    <n v="80"/>
    <n v="55"/>
    <n v="60"/>
    <x v="0"/>
    <x v="0"/>
  </r>
  <r>
    <x v="770"/>
    <n v="5"/>
    <n v="9"/>
    <n v="7"/>
    <n v="10"/>
    <n v="2"/>
    <n v="5"/>
    <n v="145"/>
    <n v="4"/>
    <n v="66"/>
    <n v="6.6"/>
    <n v="66"/>
    <n v="40"/>
    <n v="65"/>
    <n v="58"/>
    <x v="0"/>
    <x v="0"/>
  </r>
  <r>
    <x v="771"/>
    <n v="10"/>
    <n v="3"/>
    <n v="3"/>
    <n v="8"/>
    <n v="4"/>
    <n v="8"/>
    <n v="435"/>
    <n v="1"/>
    <n v="82"/>
    <n v="5.6"/>
    <n v="56"/>
    <n v="100"/>
    <n v="50"/>
    <n v="67"/>
    <x v="2"/>
    <x v="0"/>
  </r>
  <r>
    <x v="772"/>
    <n v="2"/>
    <n v="5"/>
    <n v="1"/>
    <n v="7"/>
    <n v="2"/>
    <n v="2"/>
    <n v="118"/>
    <n v="3"/>
    <n v="46"/>
    <n v="3.4"/>
    <n v="34"/>
    <n v="40"/>
    <n v="40"/>
    <n v="38"/>
    <x v="1"/>
    <x v="2"/>
  </r>
  <r>
    <x v="773"/>
    <n v="2"/>
    <n v="4"/>
    <n v="9"/>
    <n v="4"/>
    <n v="1"/>
    <n v="2"/>
    <n v="84"/>
    <n v="4"/>
    <n v="55"/>
    <n v="4"/>
    <n v="40"/>
    <n v="40"/>
    <n v="50"/>
    <n v="43"/>
    <x v="0"/>
    <x v="0"/>
  </r>
  <r>
    <x v="774"/>
    <n v="7"/>
    <n v="8"/>
    <n v="7"/>
    <n v="1"/>
    <n v="4"/>
    <n v="2"/>
    <n v="179"/>
    <n v="1"/>
    <n v="54"/>
    <n v="5.4"/>
    <n v="54"/>
    <n v="60"/>
    <n v="20"/>
    <n v="46"/>
    <x v="0"/>
    <x v="0"/>
  </r>
  <r>
    <x v="775"/>
    <n v="6"/>
    <n v="10"/>
    <n v="8"/>
    <n v="5"/>
    <n v="4"/>
    <n v="5"/>
    <n v="327"/>
    <n v="1"/>
    <n v="68"/>
    <n v="6.6"/>
    <n v="66"/>
    <n v="80"/>
    <n v="35"/>
    <n v="61"/>
    <x v="0"/>
    <x v="0"/>
  </r>
  <r>
    <x v="776"/>
    <n v="1"/>
    <n v="5"/>
    <n v="4"/>
    <n v="9"/>
    <n v="2"/>
    <n v="3"/>
    <n v="402"/>
    <n v="0"/>
    <n v="56"/>
    <n v="4.2"/>
    <n v="42"/>
    <n v="100"/>
    <n v="15"/>
    <n v="51"/>
    <x v="0"/>
    <x v="0"/>
  </r>
  <r>
    <x v="777"/>
    <n v="10"/>
    <n v="1"/>
    <n v="9"/>
    <n v="7"/>
    <n v="9"/>
    <n v="0"/>
    <n v="211"/>
    <n v="1"/>
    <n v="68"/>
    <n v="7.2"/>
    <n v="72"/>
    <n v="60"/>
    <n v="10"/>
    <n v="50"/>
    <x v="0"/>
    <x v="0"/>
  </r>
  <r>
    <x v="778"/>
    <n v="4"/>
    <n v="4"/>
    <n v="5"/>
    <n v="2"/>
    <n v="6"/>
    <n v="1"/>
    <n v="199"/>
    <n v="1"/>
    <n v="45"/>
    <n v="4.2"/>
    <n v="42"/>
    <n v="60"/>
    <n v="15"/>
    <n v="39"/>
    <x v="1"/>
    <x v="2"/>
  </r>
  <r>
    <x v="779"/>
    <n v="2"/>
    <n v="6"/>
    <n v="3"/>
    <n v="4"/>
    <n v="7"/>
    <n v="1"/>
    <n v="406"/>
    <n v="4"/>
    <n v="75"/>
    <n v="4.4000000000000004"/>
    <n v="44"/>
    <n v="100"/>
    <n v="45"/>
    <n v="61"/>
    <x v="2"/>
    <x v="0"/>
  </r>
  <r>
    <x v="780"/>
    <n v="5"/>
    <n v="3"/>
    <n v="1"/>
    <n v="5"/>
    <n v="7"/>
    <n v="4"/>
    <n v="51"/>
    <n v="0"/>
    <n v="83"/>
    <n v="4.2"/>
    <n v="42"/>
    <n v="40"/>
    <n v="20"/>
    <n v="35"/>
    <x v="2"/>
    <x v="2"/>
  </r>
  <r>
    <x v="781"/>
    <n v="2"/>
    <n v="10"/>
    <n v="10"/>
    <n v="9"/>
    <n v="3"/>
    <n v="5"/>
    <n v="151"/>
    <n v="1"/>
    <n v="61"/>
    <n v="6.8"/>
    <n v="68"/>
    <n v="60"/>
    <n v="35"/>
    <n v="56"/>
    <x v="0"/>
    <x v="0"/>
  </r>
  <r>
    <x v="782"/>
    <n v="1"/>
    <n v="9"/>
    <n v="5"/>
    <n v="9"/>
    <n v="7"/>
    <n v="6"/>
    <n v="342"/>
    <n v="0"/>
    <n v="47"/>
    <n v="6.2"/>
    <n v="62"/>
    <n v="80"/>
    <n v="30"/>
    <n v="58"/>
    <x v="1"/>
    <x v="0"/>
  </r>
  <r>
    <x v="783"/>
    <n v="9"/>
    <n v="10"/>
    <n v="6"/>
    <n v="8"/>
    <n v="8"/>
    <n v="0"/>
    <n v="308"/>
    <n v="2"/>
    <n v="81"/>
    <n v="8.1999999999999993"/>
    <n v="82"/>
    <n v="80"/>
    <n v="20"/>
    <n v="63"/>
    <x v="2"/>
    <x v="0"/>
  </r>
  <r>
    <x v="784"/>
    <n v="2"/>
    <n v="8"/>
    <n v="5"/>
    <n v="5"/>
    <n v="1"/>
    <n v="4"/>
    <n v="181"/>
    <n v="0"/>
    <n v="45"/>
    <n v="4.2"/>
    <n v="42"/>
    <n v="60"/>
    <n v="20"/>
    <n v="41"/>
    <x v="1"/>
    <x v="0"/>
  </r>
  <r>
    <x v="785"/>
    <n v="6"/>
    <n v="5"/>
    <n v="1"/>
    <n v="7"/>
    <n v="4"/>
    <n v="6"/>
    <n v="99"/>
    <n v="4"/>
    <n v="72"/>
    <n v="4.5999999999999996"/>
    <n v="46"/>
    <n v="40"/>
    <n v="70"/>
    <n v="51"/>
    <x v="0"/>
    <x v="0"/>
  </r>
  <r>
    <x v="786"/>
    <n v="10"/>
    <n v="2"/>
    <n v="8"/>
    <n v="3"/>
    <n v="2"/>
    <n v="7"/>
    <n v="499"/>
    <n v="4"/>
    <n v="55"/>
    <n v="5"/>
    <n v="50"/>
    <n v="100"/>
    <n v="75"/>
    <n v="73"/>
    <x v="0"/>
    <x v="1"/>
  </r>
  <r>
    <x v="787"/>
    <n v="4"/>
    <n v="6"/>
    <n v="2"/>
    <n v="10"/>
    <n v="8"/>
    <n v="0"/>
    <n v="116"/>
    <n v="0"/>
    <n v="90"/>
    <n v="6"/>
    <n v="60"/>
    <n v="40"/>
    <n v="0"/>
    <n v="36"/>
    <x v="2"/>
    <x v="2"/>
  </r>
  <r>
    <x v="788"/>
    <n v="3"/>
    <n v="4"/>
    <n v="10"/>
    <n v="7"/>
    <n v="8"/>
    <n v="6"/>
    <n v="173"/>
    <n v="1"/>
    <n v="58"/>
    <n v="6.4"/>
    <n v="64"/>
    <n v="60"/>
    <n v="40"/>
    <n v="56"/>
    <x v="0"/>
    <x v="0"/>
  </r>
  <r>
    <x v="789"/>
    <n v="7"/>
    <n v="8"/>
    <n v="6"/>
    <n v="3"/>
    <n v="1"/>
    <n v="2"/>
    <n v="412"/>
    <n v="2"/>
    <n v="94"/>
    <n v="5"/>
    <n v="50"/>
    <n v="100"/>
    <n v="30"/>
    <n v="59"/>
    <x v="2"/>
    <x v="0"/>
  </r>
  <r>
    <x v="790"/>
    <n v="9"/>
    <n v="10"/>
    <n v="3"/>
    <n v="3"/>
    <n v="3"/>
    <n v="6"/>
    <n v="492"/>
    <n v="0"/>
    <n v="59"/>
    <n v="5.6"/>
    <n v="56"/>
    <n v="100"/>
    <n v="30"/>
    <n v="61"/>
    <x v="0"/>
    <x v="0"/>
  </r>
  <r>
    <x v="791"/>
    <n v="2"/>
    <n v="4"/>
    <n v="10"/>
    <n v="8"/>
    <n v="1"/>
    <n v="4"/>
    <n v="198"/>
    <n v="3"/>
    <n v="61"/>
    <n v="5"/>
    <n v="50"/>
    <n v="60"/>
    <n v="50"/>
    <n v="53"/>
    <x v="0"/>
    <x v="0"/>
  </r>
  <r>
    <x v="792"/>
    <n v="8"/>
    <n v="10"/>
    <n v="1"/>
    <n v="4"/>
    <n v="7"/>
    <n v="7"/>
    <n v="196"/>
    <n v="2"/>
    <n v="84"/>
    <n v="6"/>
    <n v="60"/>
    <n v="60"/>
    <n v="55"/>
    <n v="59"/>
    <x v="2"/>
    <x v="0"/>
  </r>
  <r>
    <x v="793"/>
    <n v="10"/>
    <n v="4"/>
    <n v="2"/>
    <n v="3"/>
    <n v="9"/>
    <n v="5"/>
    <n v="57"/>
    <n v="5"/>
    <n v="54"/>
    <n v="5.6"/>
    <n v="56"/>
    <n v="40"/>
    <n v="75"/>
    <n v="57"/>
    <x v="0"/>
    <x v="0"/>
  </r>
  <r>
    <x v="794"/>
    <n v="8"/>
    <n v="9"/>
    <n v="8"/>
    <n v="3"/>
    <n v="9"/>
    <n v="8"/>
    <n v="153"/>
    <n v="3"/>
    <n v="43"/>
    <n v="7.4"/>
    <n v="74"/>
    <n v="60"/>
    <n v="70"/>
    <n v="69"/>
    <x v="1"/>
    <x v="0"/>
  </r>
  <r>
    <x v="795"/>
    <n v="1"/>
    <n v="6"/>
    <n v="6"/>
    <n v="5"/>
    <n v="7"/>
    <n v="8"/>
    <n v="210"/>
    <n v="4"/>
    <n v="76"/>
    <n v="5"/>
    <n v="50"/>
    <n v="60"/>
    <n v="80"/>
    <n v="62"/>
    <x v="2"/>
    <x v="0"/>
  </r>
  <r>
    <x v="796"/>
    <n v="7"/>
    <n v="2"/>
    <n v="8"/>
    <n v="2"/>
    <n v="4"/>
    <n v="5"/>
    <n v="310"/>
    <n v="0"/>
    <n v="71"/>
    <n v="4.5999999999999996"/>
    <n v="46"/>
    <n v="80"/>
    <n v="25"/>
    <n v="50"/>
    <x v="0"/>
    <x v="0"/>
  </r>
  <r>
    <x v="797"/>
    <n v="10"/>
    <n v="4"/>
    <n v="10"/>
    <n v="1"/>
    <n v="2"/>
    <n v="6"/>
    <n v="51"/>
    <n v="2"/>
    <n v="91"/>
    <n v="5.4"/>
    <n v="54"/>
    <n v="40"/>
    <n v="50"/>
    <n v="49"/>
    <x v="2"/>
    <x v="0"/>
  </r>
  <r>
    <x v="798"/>
    <n v="3"/>
    <n v="1"/>
    <n v="10"/>
    <n v="4"/>
    <n v="4"/>
    <n v="7"/>
    <n v="341"/>
    <n v="3"/>
    <n v="51"/>
    <n v="4.4000000000000004"/>
    <n v="44"/>
    <n v="80"/>
    <n v="65"/>
    <n v="61"/>
    <x v="0"/>
    <x v="0"/>
  </r>
  <r>
    <x v="799"/>
    <n v="3"/>
    <n v="10"/>
    <n v="3"/>
    <n v="3"/>
    <n v="1"/>
    <n v="2"/>
    <n v="333"/>
    <n v="0"/>
    <n v="93"/>
    <n v="4"/>
    <n v="40"/>
    <n v="80"/>
    <n v="10"/>
    <n v="43"/>
    <x v="2"/>
    <x v="0"/>
  </r>
  <r>
    <x v="800"/>
    <n v="8"/>
    <n v="8"/>
    <n v="6"/>
    <n v="10"/>
    <n v="4"/>
    <n v="7"/>
    <n v="455"/>
    <n v="1"/>
    <n v="51"/>
    <n v="7.2"/>
    <n v="72"/>
    <n v="100"/>
    <n v="45"/>
    <n v="72"/>
    <x v="0"/>
    <x v="1"/>
  </r>
  <r>
    <x v="801"/>
    <n v="6"/>
    <n v="9"/>
    <n v="2"/>
    <n v="10"/>
    <n v="6"/>
    <n v="8"/>
    <n v="85"/>
    <n v="0"/>
    <n v="83"/>
    <n v="6.6"/>
    <n v="66"/>
    <n v="40"/>
    <n v="40"/>
    <n v="50"/>
    <x v="2"/>
    <x v="0"/>
  </r>
  <r>
    <x v="802"/>
    <n v="8"/>
    <n v="1"/>
    <n v="3"/>
    <n v="7"/>
    <n v="8"/>
    <n v="4"/>
    <n v="437"/>
    <n v="0"/>
    <n v="73"/>
    <n v="5.4"/>
    <n v="54"/>
    <n v="100"/>
    <n v="20"/>
    <n v="58"/>
    <x v="0"/>
    <x v="0"/>
  </r>
  <r>
    <x v="803"/>
    <n v="10"/>
    <n v="7"/>
    <n v="2"/>
    <n v="6"/>
    <n v="1"/>
    <n v="7"/>
    <n v="52"/>
    <n v="2"/>
    <n v="66"/>
    <n v="5.2"/>
    <n v="52"/>
    <n v="40"/>
    <n v="55"/>
    <n v="49"/>
    <x v="0"/>
    <x v="0"/>
  </r>
  <r>
    <x v="804"/>
    <n v="1"/>
    <n v="4"/>
    <n v="6"/>
    <n v="8"/>
    <n v="2"/>
    <n v="5"/>
    <n v="438"/>
    <n v="0"/>
    <n v="67"/>
    <n v="4.2"/>
    <n v="42"/>
    <n v="100"/>
    <n v="25"/>
    <n v="54"/>
    <x v="0"/>
    <x v="0"/>
  </r>
  <r>
    <x v="805"/>
    <n v="9"/>
    <n v="5"/>
    <n v="3"/>
    <n v="2"/>
    <n v="3"/>
    <n v="8"/>
    <n v="163"/>
    <n v="4"/>
    <n v="49"/>
    <n v="4.4000000000000004"/>
    <n v="44"/>
    <n v="60"/>
    <n v="80"/>
    <n v="60"/>
    <x v="1"/>
    <x v="0"/>
  </r>
  <r>
    <x v="806"/>
    <n v="6"/>
    <n v="10"/>
    <n v="4"/>
    <n v="9"/>
    <n v="8"/>
    <n v="6"/>
    <n v="337"/>
    <n v="2"/>
    <n v="61"/>
    <n v="7.4"/>
    <n v="74"/>
    <n v="80"/>
    <n v="50"/>
    <n v="69"/>
    <x v="0"/>
    <x v="0"/>
  </r>
  <r>
    <x v="807"/>
    <n v="5"/>
    <n v="3"/>
    <n v="1"/>
    <n v="9"/>
    <n v="7"/>
    <n v="6"/>
    <n v="104"/>
    <n v="2"/>
    <n v="76"/>
    <n v="5"/>
    <n v="50"/>
    <n v="40"/>
    <n v="50"/>
    <n v="47"/>
    <x v="2"/>
    <x v="0"/>
  </r>
  <r>
    <x v="808"/>
    <n v="7"/>
    <n v="7"/>
    <n v="2"/>
    <n v="6"/>
    <n v="7"/>
    <n v="8"/>
    <n v="338"/>
    <n v="5"/>
    <n v="86"/>
    <n v="5.8"/>
    <n v="58"/>
    <n v="80"/>
    <n v="90"/>
    <n v="74"/>
    <x v="2"/>
    <x v="1"/>
  </r>
  <r>
    <x v="809"/>
    <n v="10"/>
    <n v="1"/>
    <n v="9"/>
    <n v="7"/>
    <n v="1"/>
    <n v="5"/>
    <n v="411"/>
    <n v="1"/>
    <n v="94"/>
    <n v="5.6"/>
    <n v="56"/>
    <n v="100"/>
    <n v="35"/>
    <n v="63"/>
    <x v="2"/>
    <x v="0"/>
  </r>
  <r>
    <x v="810"/>
    <n v="10"/>
    <n v="5"/>
    <n v="3"/>
    <n v="8"/>
    <n v="10"/>
    <n v="4"/>
    <n v="249"/>
    <n v="2"/>
    <n v="40"/>
    <n v="7.2"/>
    <n v="72"/>
    <n v="60"/>
    <n v="40"/>
    <n v="59"/>
    <x v="1"/>
    <x v="0"/>
  </r>
  <r>
    <x v="811"/>
    <n v="3"/>
    <n v="9"/>
    <n v="10"/>
    <n v="2"/>
    <n v="10"/>
    <n v="3"/>
    <n v="424"/>
    <n v="1"/>
    <n v="49"/>
    <n v="6.8"/>
    <n v="68"/>
    <n v="100"/>
    <n v="25"/>
    <n v="65"/>
    <x v="1"/>
    <x v="0"/>
  </r>
  <r>
    <x v="812"/>
    <n v="2"/>
    <n v="4"/>
    <n v="6"/>
    <n v="7"/>
    <n v="4"/>
    <n v="0"/>
    <n v="461"/>
    <n v="5"/>
    <n v="87"/>
    <n v="4.5999999999999996"/>
    <n v="46"/>
    <n v="100"/>
    <n v="50"/>
    <n v="63"/>
    <x v="2"/>
    <x v="0"/>
  </r>
  <r>
    <x v="813"/>
    <n v="10"/>
    <n v="9"/>
    <n v="9"/>
    <n v="2"/>
    <n v="3"/>
    <n v="7"/>
    <n v="172"/>
    <n v="0"/>
    <n v="65"/>
    <n v="6.6"/>
    <n v="66"/>
    <n v="60"/>
    <n v="35"/>
    <n v="55"/>
    <x v="0"/>
    <x v="0"/>
  </r>
  <r>
    <x v="814"/>
    <n v="7"/>
    <n v="1"/>
    <n v="2"/>
    <n v="10"/>
    <n v="4"/>
    <n v="0"/>
    <n v="411"/>
    <n v="3"/>
    <n v="51"/>
    <n v="4.8"/>
    <n v="48"/>
    <n v="100"/>
    <n v="30"/>
    <n v="58"/>
    <x v="0"/>
    <x v="0"/>
  </r>
  <r>
    <x v="815"/>
    <n v="7"/>
    <n v="1"/>
    <n v="9"/>
    <n v="8"/>
    <n v="6"/>
    <n v="3"/>
    <n v="246"/>
    <n v="0"/>
    <n v="46"/>
    <n v="6.2"/>
    <n v="62"/>
    <n v="60"/>
    <n v="15"/>
    <n v="47"/>
    <x v="1"/>
    <x v="0"/>
  </r>
  <r>
    <x v="816"/>
    <n v="1"/>
    <n v="2"/>
    <n v="3"/>
    <n v="10"/>
    <n v="9"/>
    <n v="5"/>
    <n v="386"/>
    <n v="0"/>
    <n v="50"/>
    <n v="5"/>
    <n v="50"/>
    <n v="80"/>
    <n v="25"/>
    <n v="52"/>
    <x v="0"/>
    <x v="0"/>
  </r>
  <r>
    <x v="817"/>
    <n v="10"/>
    <n v="5"/>
    <n v="5"/>
    <n v="7"/>
    <n v="9"/>
    <n v="8"/>
    <n v="52"/>
    <n v="3"/>
    <n v="76"/>
    <n v="7.2"/>
    <n v="72"/>
    <n v="40"/>
    <n v="70"/>
    <n v="62"/>
    <x v="2"/>
    <x v="0"/>
  </r>
  <r>
    <x v="818"/>
    <n v="10"/>
    <n v="4"/>
    <n v="2"/>
    <n v="7"/>
    <n v="9"/>
    <n v="8"/>
    <n v="104"/>
    <n v="4"/>
    <n v="75"/>
    <n v="6.4"/>
    <n v="64"/>
    <n v="40"/>
    <n v="80"/>
    <n v="62"/>
    <x v="2"/>
    <x v="0"/>
  </r>
  <r>
    <x v="819"/>
    <n v="10"/>
    <n v="9"/>
    <n v="8"/>
    <n v="8"/>
    <n v="3"/>
    <n v="3"/>
    <n v="248"/>
    <n v="5"/>
    <n v="76"/>
    <n v="7.6"/>
    <n v="76"/>
    <n v="60"/>
    <n v="65"/>
    <n v="68"/>
    <x v="2"/>
    <x v="0"/>
  </r>
  <r>
    <x v="820"/>
    <n v="1"/>
    <n v="2"/>
    <n v="1"/>
    <n v="2"/>
    <n v="5"/>
    <n v="6"/>
    <n v="494"/>
    <n v="4"/>
    <n v="76"/>
    <n v="2.2000000000000002"/>
    <n v="22"/>
    <n v="100"/>
    <n v="70"/>
    <n v="60"/>
    <x v="2"/>
    <x v="0"/>
  </r>
  <r>
    <x v="821"/>
    <n v="1"/>
    <n v="2"/>
    <n v="4"/>
    <n v="6"/>
    <n v="9"/>
    <n v="1"/>
    <n v="211"/>
    <n v="5"/>
    <n v="74"/>
    <n v="4.4000000000000004"/>
    <n v="44"/>
    <n v="60"/>
    <n v="55"/>
    <n v="52"/>
    <x v="0"/>
    <x v="0"/>
  </r>
  <r>
    <x v="822"/>
    <n v="9"/>
    <n v="1"/>
    <n v="7"/>
    <n v="7"/>
    <n v="6"/>
    <n v="4"/>
    <n v="487"/>
    <n v="2"/>
    <n v="79"/>
    <n v="6"/>
    <n v="60"/>
    <n v="100"/>
    <n v="40"/>
    <n v="66"/>
    <x v="2"/>
    <x v="0"/>
  </r>
  <r>
    <x v="823"/>
    <n v="6"/>
    <n v="6"/>
    <n v="6"/>
    <n v="6"/>
    <n v="9"/>
    <n v="1"/>
    <n v="443"/>
    <n v="5"/>
    <n v="82"/>
    <n v="6.6"/>
    <n v="66"/>
    <n v="100"/>
    <n v="55"/>
    <n v="73"/>
    <x v="2"/>
    <x v="1"/>
  </r>
  <r>
    <x v="824"/>
    <n v="10"/>
    <n v="5"/>
    <n v="1"/>
    <n v="7"/>
    <n v="1"/>
    <n v="1"/>
    <n v="61"/>
    <n v="0"/>
    <n v="64"/>
    <n v="4.8"/>
    <n v="48"/>
    <n v="40"/>
    <n v="5"/>
    <n v="33"/>
    <x v="0"/>
    <x v="2"/>
  </r>
  <r>
    <x v="825"/>
    <n v="9"/>
    <n v="9"/>
    <n v="7"/>
    <n v="4"/>
    <n v="9"/>
    <n v="2"/>
    <n v="53"/>
    <n v="2"/>
    <n v="65"/>
    <n v="7.6"/>
    <n v="76"/>
    <n v="40"/>
    <n v="30"/>
    <n v="51"/>
    <x v="0"/>
    <x v="0"/>
  </r>
  <r>
    <x v="826"/>
    <n v="10"/>
    <n v="10"/>
    <n v="4"/>
    <n v="3"/>
    <n v="10"/>
    <n v="5"/>
    <n v="406"/>
    <n v="1"/>
    <n v="64"/>
    <n v="7.4"/>
    <n v="74"/>
    <n v="100"/>
    <n v="35"/>
    <n v="70"/>
    <x v="0"/>
    <x v="0"/>
  </r>
  <r>
    <x v="827"/>
    <n v="9"/>
    <n v="5"/>
    <n v="9"/>
    <n v="3"/>
    <n v="4"/>
    <n v="6"/>
    <n v="391"/>
    <n v="1"/>
    <n v="42"/>
    <n v="6"/>
    <n v="60"/>
    <n v="80"/>
    <n v="40"/>
    <n v="60"/>
    <x v="1"/>
    <x v="0"/>
  </r>
  <r>
    <x v="828"/>
    <n v="10"/>
    <n v="7"/>
    <n v="1"/>
    <n v="10"/>
    <n v="6"/>
    <n v="7"/>
    <n v="65"/>
    <n v="0"/>
    <n v="72"/>
    <n v="6.8"/>
    <n v="68"/>
    <n v="40"/>
    <n v="35"/>
    <n v="50"/>
    <x v="0"/>
    <x v="0"/>
  </r>
  <r>
    <x v="829"/>
    <n v="5"/>
    <n v="5"/>
    <n v="6"/>
    <n v="2"/>
    <n v="1"/>
    <n v="8"/>
    <n v="416"/>
    <n v="4"/>
    <n v="86"/>
    <n v="3.8"/>
    <n v="38"/>
    <n v="100"/>
    <n v="80"/>
    <n v="69"/>
    <x v="2"/>
    <x v="0"/>
  </r>
  <r>
    <x v="830"/>
    <n v="8"/>
    <n v="10"/>
    <n v="3"/>
    <n v="1"/>
    <n v="9"/>
    <n v="8"/>
    <n v="331"/>
    <n v="3"/>
    <n v="78"/>
    <n v="6.2"/>
    <n v="62"/>
    <n v="80"/>
    <n v="70"/>
    <n v="70"/>
    <x v="2"/>
    <x v="0"/>
  </r>
  <r>
    <x v="831"/>
    <n v="3"/>
    <n v="8"/>
    <n v="7"/>
    <n v="9"/>
    <n v="4"/>
    <n v="0"/>
    <n v="280"/>
    <n v="2"/>
    <n v="82"/>
    <n v="6.2"/>
    <n v="62"/>
    <n v="80"/>
    <n v="20"/>
    <n v="55"/>
    <x v="2"/>
    <x v="0"/>
  </r>
  <r>
    <x v="832"/>
    <n v="10"/>
    <n v="6"/>
    <n v="2"/>
    <n v="3"/>
    <n v="2"/>
    <n v="2"/>
    <n v="320"/>
    <n v="4"/>
    <n v="50"/>
    <n v="4.5999999999999996"/>
    <n v="46"/>
    <n v="80"/>
    <n v="50"/>
    <n v="57"/>
    <x v="0"/>
    <x v="0"/>
  </r>
  <r>
    <x v="833"/>
    <n v="5"/>
    <n v="3"/>
    <n v="6"/>
    <n v="10"/>
    <n v="8"/>
    <n v="0"/>
    <n v="478"/>
    <n v="1"/>
    <n v="76"/>
    <n v="6.4"/>
    <n v="64"/>
    <n v="100"/>
    <n v="10"/>
    <n v="59"/>
    <x v="2"/>
    <x v="0"/>
  </r>
  <r>
    <x v="834"/>
    <n v="8"/>
    <n v="4"/>
    <n v="3"/>
    <n v="3"/>
    <n v="6"/>
    <n v="3"/>
    <n v="386"/>
    <n v="3"/>
    <n v="88"/>
    <n v="4.8"/>
    <n v="48"/>
    <n v="80"/>
    <n v="45"/>
    <n v="57"/>
    <x v="2"/>
    <x v="0"/>
  </r>
  <r>
    <x v="835"/>
    <n v="3"/>
    <n v="8"/>
    <n v="6"/>
    <n v="1"/>
    <n v="2"/>
    <n v="6"/>
    <n v="137"/>
    <n v="0"/>
    <n v="73"/>
    <n v="4"/>
    <n v="40"/>
    <n v="40"/>
    <n v="30"/>
    <n v="37"/>
    <x v="0"/>
    <x v="2"/>
  </r>
  <r>
    <x v="836"/>
    <n v="9"/>
    <n v="9"/>
    <n v="5"/>
    <n v="10"/>
    <n v="2"/>
    <n v="8"/>
    <n v="181"/>
    <n v="2"/>
    <n v="53"/>
    <n v="7"/>
    <n v="70"/>
    <n v="60"/>
    <n v="60"/>
    <n v="64"/>
    <x v="0"/>
    <x v="0"/>
  </r>
  <r>
    <x v="837"/>
    <n v="2"/>
    <n v="9"/>
    <n v="3"/>
    <n v="9"/>
    <n v="1"/>
    <n v="5"/>
    <n v="485"/>
    <n v="3"/>
    <n v="73"/>
    <n v="4.8"/>
    <n v="48"/>
    <n v="100"/>
    <n v="55"/>
    <n v="66"/>
    <x v="0"/>
    <x v="0"/>
  </r>
  <r>
    <x v="838"/>
    <n v="5"/>
    <n v="2"/>
    <n v="10"/>
    <n v="2"/>
    <n v="7"/>
    <n v="6"/>
    <n v="222"/>
    <n v="4"/>
    <n v="57"/>
    <n v="5.2"/>
    <n v="52"/>
    <n v="60"/>
    <n v="70"/>
    <n v="60"/>
    <x v="0"/>
    <x v="0"/>
  </r>
  <r>
    <x v="839"/>
    <n v="3"/>
    <n v="6"/>
    <n v="5"/>
    <n v="5"/>
    <n v="5"/>
    <n v="8"/>
    <n v="219"/>
    <n v="4"/>
    <n v="84"/>
    <n v="4.8"/>
    <n v="48"/>
    <n v="60"/>
    <n v="80"/>
    <n v="61"/>
    <x v="2"/>
    <x v="0"/>
  </r>
  <r>
    <x v="840"/>
    <n v="2"/>
    <n v="1"/>
    <n v="7"/>
    <n v="2"/>
    <n v="7"/>
    <n v="5"/>
    <n v="268"/>
    <n v="3"/>
    <n v="57"/>
    <n v="3.8"/>
    <n v="38"/>
    <n v="80"/>
    <n v="55"/>
    <n v="56"/>
    <x v="0"/>
    <x v="0"/>
  </r>
  <r>
    <x v="841"/>
    <n v="5"/>
    <n v="2"/>
    <n v="3"/>
    <n v="2"/>
    <n v="7"/>
    <n v="0"/>
    <n v="184"/>
    <n v="5"/>
    <n v="45"/>
    <n v="3.8"/>
    <n v="38"/>
    <n v="60"/>
    <n v="50"/>
    <n v="48"/>
    <x v="1"/>
    <x v="0"/>
  </r>
  <r>
    <x v="842"/>
    <n v="4"/>
    <n v="6"/>
    <n v="5"/>
    <n v="6"/>
    <n v="6"/>
    <n v="1"/>
    <n v="62"/>
    <n v="4"/>
    <n v="42"/>
    <n v="5.4"/>
    <n v="54"/>
    <n v="40"/>
    <n v="45"/>
    <n v="47"/>
    <x v="1"/>
    <x v="0"/>
  </r>
  <r>
    <x v="843"/>
    <n v="10"/>
    <n v="7"/>
    <n v="8"/>
    <n v="2"/>
    <n v="7"/>
    <n v="6"/>
    <n v="131"/>
    <n v="4"/>
    <n v="88"/>
    <n v="6.8"/>
    <n v="68"/>
    <n v="40"/>
    <n v="70"/>
    <n v="60"/>
    <x v="2"/>
    <x v="0"/>
  </r>
  <r>
    <x v="844"/>
    <n v="5"/>
    <n v="2"/>
    <n v="1"/>
    <n v="9"/>
    <n v="1"/>
    <n v="1"/>
    <n v="373"/>
    <n v="2"/>
    <n v="53"/>
    <n v="3.6"/>
    <n v="36"/>
    <n v="80"/>
    <n v="25"/>
    <n v="46"/>
    <x v="0"/>
    <x v="0"/>
  </r>
  <r>
    <x v="845"/>
    <n v="6"/>
    <n v="9"/>
    <n v="3"/>
    <n v="10"/>
    <n v="4"/>
    <n v="3"/>
    <n v="490"/>
    <n v="2"/>
    <n v="41"/>
    <n v="6.4"/>
    <n v="64"/>
    <n v="100"/>
    <n v="35"/>
    <n v="66"/>
    <x v="1"/>
    <x v="0"/>
  </r>
  <r>
    <x v="846"/>
    <n v="2"/>
    <n v="2"/>
    <n v="1"/>
    <n v="3"/>
    <n v="8"/>
    <n v="2"/>
    <n v="437"/>
    <n v="1"/>
    <n v="53"/>
    <n v="3.2"/>
    <n v="32"/>
    <n v="100"/>
    <n v="20"/>
    <n v="49"/>
    <x v="0"/>
    <x v="0"/>
  </r>
  <r>
    <x v="847"/>
    <n v="6"/>
    <n v="5"/>
    <n v="10"/>
    <n v="3"/>
    <n v="3"/>
    <n v="7"/>
    <n v="337"/>
    <n v="3"/>
    <n v="65"/>
    <n v="5.4"/>
    <n v="54"/>
    <n v="80"/>
    <n v="65"/>
    <n v="65"/>
    <x v="0"/>
    <x v="0"/>
  </r>
  <r>
    <x v="848"/>
    <n v="4"/>
    <n v="3"/>
    <n v="1"/>
    <n v="8"/>
    <n v="7"/>
    <n v="1"/>
    <n v="288"/>
    <n v="0"/>
    <n v="53"/>
    <n v="4.5999999999999996"/>
    <n v="46"/>
    <n v="80"/>
    <n v="5"/>
    <n v="44"/>
    <x v="0"/>
    <x v="0"/>
  </r>
  <r>
    <x v="849"/>
    <n v="10"/>
    <n v="10"/>
    <n v="7"/>
    <n v="8"/>
    <n v="10"/>
    <n v="2"/>
    <n v="436"/>
    <n v="5"/>
    <n v="73"/>
    <n v="9"/>
    <n v="90"/>
    <n v="100"/>
    <n v="60"/>
    <n v="84"/>
    <x v="0"/>
    <x v="1"/>
  </r>
  <r>
    <x v="850"/>
    <n v="3"/>
    <n v="6"/>
    <n v="7"/>
    <n v="4"/>
    <n v="1"/>
    <n v="4"/>
    <n v="162"/>
    <n v="0"/>
    <n v="50"/>
    <n v="4.2"/>
    <n v="42"/>
    <n v="60"/>
    <n v="20"/>
    <n v="41"/>
    <x v="0"/>
    <x v="0"/>
  </r>
  <r>
    <x v="851"/>
    <n v="9"/>
    <n v="6"/>
    <n v="8"/>
    <n v="6"/>
    <n v="10"/>
    <n v="5"/>
    <n v="195"/>
    <n v="2"/>
    <n v="93"/>
    <n v="7.8"/>
    <n v="78"/>
    <n v="60"/>
    <n v="45"/>
    <n v="63"/>
    <x v="2"/>
    <x v="0"/>
  </r>
  <r>
    <x v="852"/>
    <n v="10"/>
    <n v="4"/>
    <n v="8"/>
    <n v="8"/>
    <n v="3"/>
    <n v="8"/>
    <n v="84"/>
    <n v="3"/>
    <n v="42"/>
    <n v="6.6"/>
    <n v="66"/>
    <n v="40"/>
    <n v="70"/>
    <n v="59"/>
    <x v="1"/>
    <x v="0"/>
  </r>
  <r>
    <x v="853"/>
    <n v="6"/>
    <n v="10"/>
    <n v="7"/>
    <n v="7"/>
    <n v="1"/>
    <n v="3"/>
    <n v="370"/>
    <n v="4"/>
    <n v="47"/>
    <n v="6.2"/>
    <n v="62"/>
    <n v="80"/>
    <n v="55"/>
    <n v="65"/>
    <x v="1"/>
    <x v="0"/>
  </r>
  <r>
    <x v="854"/>
    <n v="7"/>
    <n v="5"/>
    <n v="3"/>
    <n v="6"/>
    <n v="4"/>
    <n v="3"/>
    <n v="352"/>
    <n v="1"/>
    <n v="44"/>
    <n v="5"/>
    <n v="50"/>
    <n v="80"/>
    <n v="25"/>
    <n v="52"/>
    <x v="1"/>
    <x v="0"/>
  </r>
  <r>
    <x v="855"/>
    <n v="1"/>
    <n v="10"/>
    <n v="7"/>
    <n v="2"/>
    <n v="4"/>
    <n v="2"/>
    <n v="462"/>
    <n v="0"/>
    <n v="95"/>
    <n v="4.8"/>
    <n v="48"/>
    <n v="100"/>
    <n v="10"/>
    <n v="52"/>
    <x v="2"/>
    <x v="0"/>
  </r>
  <r>
    <x v="856"/>
    <n v="6"/>
    <n v="3"/>
    <n v="9"/>
    <n v="10"/>
    <n v="3"/>
    <n v="2"/>
    <n v="92"/>
    <n v="3"/>
    <n v="83"/>
    <n v="6.2"/>
    <n v="62"/>
    <n v="40"/>
    <n v="40"/>
    <n v="49"/>
    <x v="2"/>
    <x v="0"/>
  </r>
  <r>
    <x v="857"/>
    <n v="10"/>
    <n v="10"/>
    <n v="4"/>
    <n v="10"/>
    <n v="5"/>
    <n v="3"/>
    <n v="152"/>
    <n v="5"/>
    <n v="78"/>
    <n v="7.8"/>
    <n v="78"/>
    <n v="60"/>
    <n v="65"/>
    <n v="69"/>
    <x v="2"/>
    <x v="0"/>
  </r>
  <r>
    <x v="858"/>
    <n v="8"/>
    <n v="7"/>
    <n v="10"/>
    <n v="9"/>
    <n v="4"/>
    <n v="2"/>
    <n v="273"/>
    <n v="4"/>
    <n v="89"/>
    <n v="7.6"/>
    <n v="76"/>
    <n v="80"/>
    <n v="50"/>
    <n v="69"/>
    <x v="2"/>
    <x v="0"/>
  </r>
  <r>
    <x v="859"/>
    <n v="4"/>
    <n v="4"/>
    <n v="6"/>
    <n v="1"/>
    <n v="2"/>
    <n v="8"/>
    <n v="119"/>
    <n v="2"/>
    <n v="48"/>
    <n v="3.4"/>
    <n v="34"/>
    <n v="40"/>
    <n v="60"/>
    <n v="44"/>
    <x v="1"/>
    <x v="0"/>
  </r>
  <r>
    <x v="860"/>
    <n v="10"/>
    <n v="10"/>
    <n v="10"/>
    <n v="10"/>
    <n v="10"/>
    <n v="4"/>
    <n v="499"/>
    <n v="5"/>
    <n v="82"/>
    <n v="10"/>
    <n v="100"/>
    <n v="100"/>
    <n v="70"/>
    <n v="91"/>
    <x v="2"/>
    <x v="1"/>
  </r>
  <r>
    <x v="861"/>
    <n v="7"/>
    <n v="6"/>
    <n v="7"/>
    <n v="6"/>
    <n v="1"/>
    <n v="0"/>
    <n v="143"/>
    <n v="2"/>
    <n v="66"/>
    <n v="5.4"/>
    <n v="54"/>
    <n v="40"/>
    <n v="20"/>
    <n v="40"/>
    <x v="0"/>
    <x v="0"/>
  </r>
  <r>
    <x v="862"/>
    <n v="4"/>
    <n v="2"/>
    <n v="10"/>
    <n v="10"/>
    <n v="10"/>
    <n v="3"/>
    <n v="320"/>
    <n v="4"/>
    <n v="76"/>
    <n v="7.2"/>
    <n v="72"/>
    <n v="80"/>
    <n v="55"/>
    <n v="69"/>
    <x v="2"/>
    <x v="0"/>
  </r>
  <r>
    <x v="863"/>
    <n v="3"/>
    <n v="4"/>
    <n v="9"/>
    <n v="4"/>
    <n v="8"/>
    <n v="5"/>
    <n v="87"/>
    <n v="0"/>
    <n v="87"/>
    <n v="5.6"/>
    <n v="56"/>
    <n v="40"/>
    <n v="25"/>
    <n v="42"/>
    <x v="2"/>
    <x v="0"/>
  </r>
  <r>
    <x v="864"/>
    <n v="9"/>
    <n v="8"/>
    <n v="9"/>
    <n v="5"/>
    <n v="6"/>
    <n v="0"/>
    <n v="261"/>
    <n v="1"/>
    <n v="81"/>
    <n v="7.4"/>
    <n v="74"/>
    <n v="80"/>
    <n v="10"/>
    <n v="57"/>
    <x v="2"/>
    <x v="0"/>
  </r>
  <r>
    <x v="865"/>
    <n v="3"/>
    <n v="2"/>
    <n v="7"/>
    <n v="4"/>
    <n v="7"/>
    <n v="0"/>
    <n v="87"/>
    <n v="1"/>
    <n v="60"/>
    <n v="4.5999999999999996"/>
    <n v="46"/>
    <n v="40"/>
    <n v="10"/>
    <n v="33"/>
    <x v="0"/>
    <x v="2"/>
  </r>
  <r>
    <x v="866"/>
    <n v="7"/>
    <n v="8"/>
    <n v="8"/>
    <n v="3"/>
    <n v="3"/>
    <n v="8"/>
    <n v="203"/>
    <n v="3"/>
    <n v="89"/>
    <n v="5.8"/>
    <n v="58"/>
    <n v="60"/>
    <n v="70"/>
    <n v="62"/>
    <x v="2"/>
    <x v="0"/>
  </r>
  <r>
    <x v="867"/>
    <n v="3"/>
    <n v="8"/>
    <n v="8"/>
    <n v="1"/>
    <n v="1"/>
    <n v="3"/>
    <n v="219"/>
    <n v="1"/>
    <n v="40"/>
    <n v="4.2"/>
    <n v="42"/>
    <n v="60"/>
    <n v="25"/>
    <n v="42"/>
    <x v="1"/>
    <x v="0"/>
  </r>
  <r>
    <x v="868"/>
    <n v="4"/>
    <n v="9"/>
    <n v="1"/>
    <n v="1"/>
    <n v="5"/>
    <n v="6"/>
    <n v="171"/>
    <n v="5"/>
    <n v="52"/>
    <n v="4"/>
    <n v="40"/>
    <n v="60"/>
    <n v="80"/>
    <n v="58"/>
    <x v="0"/>
    <x v="0"/>
  </r>
  <r>
    <x v="869"/>
    <n v="4"/>
    <n v="10"/>
    <n v="7"/>
    <n v="1"/>
    <n v="5"/>
    <n v="2"/>
    <n v="307"/>
    <n v="2"/>
    <n v="77"/>
    <n v="5.4"/>
    <n v="54"/>
    <n v="80"/>
    <n v="30"/>
    <n v="55"/>
    <x v="2"/>
    <x v="0"/>
  </r>
  <r>
    <x v="870"/>
    <n v="9"/>
    <n v="6"/>
    <n v="5"/>
    <n v="3"/>
    <n v="5"/>
    <n v="8"/>
    <n v="172"/>
    <n v="2"/>
    <n v="94"/>
    <n v="5.6"/>
    <n v="56"/>
    <n v="60"/>
    <n v="60"/>
    <n v="58"/>
    <x v="2"/>
    <x v="0"/>
  </r>
  <r>
    <x v="871"/>
    <n v="3"/>
    <n v="3"/>
    <n v="6"/>
    <n v="6"/>
    <n v="6"/>
    <n v="7"/>
    <n v="154"/>
    <n v="4"/>
    <n v="62"/>
    <n v="4.8"/>
    <n v="48"/>
    <n v="60"/>
    <n v="75"/>
    <n v="60"/>
    <x v="0"/>
    <x v="0"/>
  </r>
  <r>
    <x v="872"/>
    <n v="10"/>
    <n v="8"/>
    <n v="2"/>
    <n v="1"/>
    <n v="7"/>
    <n v="0"/>
    <n v="291"/>
    <n v="2"/>
    <n v="91"/>
    <n v="5.6"/>
    <n v="56"/>
    <n v="80"/>
    <n v="20"/>
    <n v="52"/>
    <x v="2"/>
    <x v="0"/>
  </r>
  <r>
    <x v="873"/>
    <n v="4"/>
    <n v="2"/>
    <n v="10"/>
    <n v="8"/>
    <n v="3"/>
    <n v="6"/>
    <n v="251"/>
    <n v="0"/>
    <n v="80"/>
    <n v="5.4"/>
    <n v="54"/>
    <n v="80"/>
    <n v="30"/>
    <n v="55"/>
    <x v="2"/>
    <x v="0"/>
  </r>
  <r>
    <x v="874"/>
    <n v="5"/>
    <n v="7"/>
    <n v="2"/>
    <n v="6"/>
    <n v="1"/>
    <n v="2"/>
    <n v="145"/>
    <n v="5"/>
    <n v="68"/>
    <n v="4.2"/>
    <n v="42"/>
    <n v="40"/>
    <n v="60"/>
    <n v="47"/>
    <x v="0"/>
    <x v="0"/>
  </r>
  <r>
    <x v="875"/>
    <n v="10"/>
    <n v="4"/>
    <n v="5"/>
    <n v="3"/>
    <n v="3"/>
    <n v="2"/>
    <n v="139"/>
    <n v="3"/>
    <n v="89"/>
    <n v="5"/>
    <n v="50"/>
    <n v="40"/>
    <n v="40"/>
    <n v="44"/>
    <x v="2"/>
    <x v="0"/>
  </r>
  <r>
    <x v="876"/>
    <n v="6"/>
    <n v="10"/>
    <n v="1"/>
    <n v="9"/>
    <n v="4"/>
    <n v="8"/>
    <n v="356"/>
    <n v="3"/>
    <n v="50"/>
    <n v="6"/>
    <n v="60"/>
    <n v="80"/>
    <n v="70"/>
    <n v="69"/>
    <x v="0"/>
    <x v="0"/>
  </r>
  <r>
    <x v="877"/>
    <n v="3"/>
    <n v="10"/>
    <n v="10"/>
    <n v="8"/>
    <n v="6"/>
    <n v="0"/>
    <n v="153"/>
    <n v="3"/>
    <n v="90"/>
    <n v="7.4"/>
    <n v="74"/>
    <n v="60"/>
    <n v="30"/>
    <n v="57"/>
    <x v="2"/>
    <x v="0"/>
  </r>
  <r>
    <x v="878"/>
    <n v="8"/>
    <n v="4"/>
    <n v="9"/>
    <n v="5"/>
    <n v="9"/>
    <n v="6"/>
    <n v="394"/>
    <n v="1"/>
    <n v="82"/>
    <n v="7"/>
    <n v="70"/>
    <n v="80"/>
    <n v="40"/>
    <n v="64"/>
    <x v="2"/>
    <x v="0"/>
  </r>
  <r>
    <x v="879"/>
    <n v="1"/>
    <n v="6"/>
    <n v="8"/>
    <n v="10"/>
    <n v="7"/>
    <n v="0"/>
    <n v="422"/>
    <n v="2"/>
    <n v="54"/>
    <n v="6.4"/>
    <n v="64"/>
    <n v="100"/>
    <n v="20"/>
    <n v="62"/>
    <x v="0"/>
    <x v="0"/>
  </r>
  <r>
    <x v="880"/>
    <n v="4"/>
    <n v="1"/>
    <n v="6"/>
    <n v="6"/>
    <n v="10"/>
    <n v="1"/>
    <n v="418"/>
    <n v="5"/>
    <n v="56"/>
    <n v="5.4"/>
    <n v="54"/>
    <n v="100"/>
    <n v="55"/>
    <n v="68"/>
    <x v="0"/>
    <x v="0"/>
  </r>
  <r>
    <x v="881"/>
    <n v="2"/>
    <n v="9"/>
    <n v="2"/>
    <n v="3"/>
    <n v="1"/>
    <n v="2"/>
    <n v="214"/>
    <n v="5"/>
    <n v="62"/>
    <n v="3.4"/>
    <n v="34"/>
    <n v="60"/>
    <n v="60"/>
    <n v="50"/>
    <x v="0"/>
    <x v="0"/>
  </r>
  <r>
    <x v="882"/>
    <n v="9"/>
    <n v="2"/>
    <n v="9"/>
    <n v="10"/>
    <n v="8"/>
    <n v="6"/>
    <n v="194"/>
    <n v="2"/>
    <n v="79"/>
    <n v="7.6"/>
    <n v="76"/>
    <n v="60"/>
    <n v="50"/>
    <n v="63"/>
    <x v="2"/>
    <x v="0"/>
  </r>
  <r>
    <x v="883"/>
    <n v="9"/>
    <n v="6"/>
    <n v="7"/>
    <n v="10"/>
    <n v="9"/>
    <n v="6"/>
    <n v="280"/>
    <n v="5"/>
    <n v="66"/>
    <n v="8.1999999999999993"/>
    <n v="82"/>
    <n v="80"/>
    <n v="80"/>
    <n v="81"/>
    <x v="0"/>
    <x v="1"/>
  </r>
  <r>
    <x v="884"/>
    <n v="10"/>
    <n v="1"/>
    <n v="2"/>
    <n v="6"/>
    <n v="10"/>
    <n v="0"/>
    <n v="68"/>
    <n v="3"/>
    <n v="77"/>
    <n v="5.8"/>
    <n v="58"/>
    <n v="40"/>
    <n v="30"/>
    <n v="44"/>
    <x v="2"/>
    <x v="0"/>
  </r>
  <r>
    <x v="885"/>
    <n v="5"/>
    <n v="7"/>
    <n v="4"/>
    <n v="4"/>
    <n v="9"/>
    <n v="3"/>
    <n v="298"/>
    <n v="3"/>
    <n v="94"/>
    <n v="5.8"/>
    <n v="58"/>
    <n v="80"/>
    <n v="45"/>
    <n v="61"/>
    <x v="2"/>
    <x v="0"/>
  </r>
  <r>
    <x v="886"/>
    <n v="4"/>
    <n v="1"/>
    <n v="5"/>
    <n v="7"/>
    <n v="3"/>
    <n v="8"/>
    <n v="101"/>
    <n v="5"/>
    <n v="69"/>
    <n v="4"/>
    <n v="40"/>
    <n v="40"/>
    <n v="90"/>
    <n v="55"/>
    <x v="0"/>
    <x v="0"/>
  </r>
  <r>
    <x v="887"/>
    <n v="5"/>
    <n v="2"/>
    <n v="2"/>
    <n v="5"/>
    <n v="5"/>
    <n v="0"/>
    <n v="488"/>
    <n v="1"/>
    <n v="58"/>
    <n v="3.8"/>
    <n v="38"/>
    <n v="100"/>
    <n v="10"/>
    <n v="48"/>
    <x v="0"/>
    <x v="0"/>
  </r>
  <r>
    <x v="888"/>
    <n v="2"/>
    <n v="10"/>
    <n v="2"/>
    <n v="6"/>
    <n v="8"/>
    <n v="7"/>
    <n v="379"/>
    <n v="3"/>
    <n v="64"/>
    <n v="5.6"/>
    <n v="56"/>
    <n v="80"/>
    <n v="65"/>
    <n v="66"/>
    <x v="0"/>
    <x v="0"/>
  </r>
  <r>
    <x v="889"/>
    <n v="7"/>
    <n v="7"/>
    <n v="3"/>
    <n v="3"/>
    <n v="1"/>
    <n v="6"/>
    <n v="439"/>
    <n v="1"/>
    <n v="68"/>
    <n v="4.2"/>
    <n v="42"/>
    <n v="100"/>
    <n v="40"/>
    <n v="59"/>
    <x v="0"/>
    <x v="0"/>
  </r>
  <r>
    <x v="890"/>
    <n v="5"/>
    <n v="3"/>
    <n v="5"/>
    <n v="3"/>
    <n v="6"/>
    <n v="3"/>
    <n v="113"/>
    <n v="5"/>
    <n v="67"/>
    <n v="4.4000000000000004"/>
    <n v="44"/>
    <n v="40"/>
    <n v="65"/>
    <n v="49"/>
    <x v="0"/>
    <x v="0"/>
  </r>
  <r>
    <x v="891"/>
    <n v="3"/>
    <n v="4"/>
    <n v="7"/>
    <n v="7"/>
    <n v="5"/>
    <n v="2"/>
    <n v="498"/>
    <n v="1"/>
    <n v="61"/>
    <n v="5.2"/>
    <n v="52"/>
    <n v="100"/>
    <n v="20"/>
    <n v="57"/>
    <x v="0"/>
    <x v="0"/>
  </r>
  <r>
    <x v="892"/>
    <n v="4"/>
    <n v="2"/>
    <n v="6"/>
    <n v="9"/>
    <n v="10"/>
    <n v="8"/>
    <n v="143"/>
    <n v="0"/>
    <n v="42"/>
    <n v="6.2"/>
    <n v="62"/>
    <n v="40"/>
    <n v="40"/>
    <n v="49"/>
    <x v="1"/>
    <x v="0"/>
  </r>
  <r>
    <x v="893"/>
    <n v="2"/>
    <n v="5"/>
    <n v="3"/>
    <n v="6"/>
    <n v="1"/>
    <n v="3"/>
    <n v="236"/>
    <n v="3"/>
    <n v="57"/>
    <n v="3.4"/>
    <n v="34"/>
    <n v="60"/>
    <n v="45"/>
    <n v="45"/>
    <x v="0"/>
    <x v="0"/>
  </r>
  <r>
    <x v="894"/>
    <n v="7"/>
    <n v="5"/>
    <n v="4"/>
    <n v="10"/>
    <n v="1"/>
    <n v="2"/>
    <n v="416"/>
    <n v="5"/>
    <n v="95"/>
    <n v="5.4"/>
    <n v="54"/>
    <n v="100"/>
    <n v="60"/>
    <n v="70"/>
    <x v="2"/>
    <x v="0"/>
  </r>
  <r>
    <x v="895"/>
    <n v="3"/>
    <n v="10"/>
    <n v="8"/>
    <n v="6"/>
    <n v="10"/>
    <n v="1"/>
    <n v="399"/>
    <n v="2"/>
    <n v="88"/>
    <n v="7.4"/>
    <n v="74"/>
    <n v="80"/>
    <n v="25"/>
    <n v="61"/>
    <x v="2"/>
    <x v="0"/>
  </r>
  <r>
    <x v="896"/>
    <n v="10"/>
    <n v="5"/>
    <n v="5"/>
    <n v="1"/>
    <n v="5"/>
    <n v="4"/>
    <n v="352"/>
    <n v="0"/>
    <n v="44"/>
    <n v="5.2"/>
    <n v="52"/>
    <n v="80"/>
    <n v="20"/>
    <n v="51"/>
    <x v="1"/>
    <x v="0"/>
  </r>
  <r>
    <x v="897"/>
    <n v="5"/>
    <n v="1"/>
    <n v="3"/>
    <n v="5"/>
    <n v="10"/>
    <n v="7"/>
    <n v="61"/>
    <n v="2"/>
    <n v="59"/>
    <n v="4.8"/>
    <n v="48"/>
    <n v="40"/>
    <n v="55"/>
    <n v="48"/>
    <x v="0"/>
    <x v="0"/>
  </r>
  <r>
    <x v="898"/>
    <n v="4"/>
    <n v="8"/>
    <n v="2"/>
    <n v="7"/>
    <n v="8"/>
    <n v="1"/>
    <n v="474"/>
    <n v="0"/>
    <n v="62"/>
    <n v="5.8"/>
    <n v="58"/>
    <n v="100"/>
    <n v="5"/>
    <n v="55"/>
    <x v="0"/>
    <x v="0"/>
  </r>
  <r>
    <x v="899"/>
    <n v="5"/>
    <n v="5"/>
    <n v="1"/>
    <n v="10"/>
    <n v="7"/>
    <n v="4"/>
    <n v="134"/>
    <n v="0"/>
    <n v="52"/>
    <n v="5.6"/>
    <n v="56"/>
    <n v="40"/>
    <n v="20"/>
    <n v="40"/>
    <x v="0"/>
    <x v="0"/>
  </r>
  <r>
    <x v="900"/>
    <n v="9"/>
    <n v="8"/>
    <n v="3"/>
    <n v="9"/>
    <n v="5"/>
    <n v="0"/>
    <n v="228"/>
    <n v="0"/>
    <n v="54"/>
    <n v="6.8"/>
    <n v="68"/>
    <n v="60"/>
    <n v="0"/>
    <n v="45"/>
    <x v="0"/>
    <x v="0"/>
  </r>
  <r>
    <x v="901"/>
    <n v="3"/>
    <n v="6"/>
    <n v="6"/>
    <n v="8"/>
    <n v="8"/>
    <n v="4"/>
    <n v="63"/>
    <n v="2"/>
    <n v="89"/>
    <n v="6.2"/>
    <n v="62"/>
    <n v="40"/>
    <n v="40"/>
    <n v="49"/>
    <x v="2"/>
    <x v="0"/>
  </r>
  <r>
    <x v="902"/>
    <n v="1"/>
    <n v="2"/>
    <n v="10"/>
    <n v="3"/>
    <n v="2"/>
    <n v="1"/>
    <n v="469"/>
    <n v="1"/>
    <n v="68"/>
    <n v="3.6"/>
    <n v="36"/>
    <n v="100"/>
    <n v="15"/>
    <n v="49"/>
    <x v="0"/>
    <x v="0"/>
  </r>
  <r>
    <x v="903"/>
    <n v="3"/>
    <n v="7"/>
    <n v="2"/>
    <n v="2"/>
    <n v="3"/>
    <n v="3"/>
    <n v="268"/>
    <n v="1"/>
    <n v="69"/>
    <n v="3.4"/>
    <n v="34"/>
    <n v="80"/>
    <n v="25"/>
    <n v="45"/>
    <x v="0"/>
    <x v="0"/>
  </r>
  <r>
    <x v="904"/>
    <n v="4"/>
    <n v="8"/>
    <n v="3"/>
    <n v="2"/>
    <n v="4"/>
    <n v="7"/>
    <n v="456"/>
    <n v="2"/>
    <n v="88"/>
    <n v="4.2"/>
    <n v="42"/>
    <n v="100"/>
    <n v="55"/>
    <n v="63"/>
    <x v="2"/>
    <x v="0"/>
  </r>
  <r>
    <x v="905"/>
    <n v="6"/>
    <n v="10"/>
    <n v="9"/>
    <n v="3"/>
    <n v="10"/>
    <n v="1"/>
    <n v="420"/>
    <n v="0"/>
    <n v="66"/>
    <n v="7.6"/>
    <n v="76"/>
    <n v="100"/>
    <n v="5"/>
    <n v="62"/>
    <x v="0"/>
    <x v="0"/>
  </r>
  <r>
    <x v="906"/>
    <n v="6"/>
    <n v="9"/>
    <n v="3"/>
    <n v="6"/>
    <n v="1"/>
    <n v="8"/>
    <n v="262"/>
    <n v="4"/>
    <n v="78"/>
    <n v="5"/>
    <n v="50"/>
    <n v="80"/>
    <n v="80"/>
    <n v="68"/>
    <x v="2"/>
    <x v="0"/>
  </r>
  <r>
    <x v="907"/>
    <n v="2"/>
    <n v="2"/>
    <n v="6"/>
    <n v="3"/>
    <n v="1"/>
    <n v="6"/>
    <n v="78"/>
    <n v="1"/>
    <n v="73"/>
    <n v="2.8"/>
    <n v="28"/>
    <n v="40"/>
    <n v="40"/>
    <n v="35"/>
    <x v="0"/>
    <x v="2"/>
  </r>
  <r>
    <x v="908"/>
    <n v="1"/>
    <n v="10"/>
    <n v="6"/>
    <n v="2"/>
    <n v="1"/>
    <n v="3"/>
    <n v="447"/>
    <n v="1"/>
    <n v="63"/>
    <n v="4"/>
    <n v="40"/>
    <n v="100"/>
    <n v="25"/>
    <n v="54"/>
    <x v="0"/>
    <x v="0"/>
  </r>
  <r>
    <x v="909"/>
    <n v="6"/>
    <n v="4"/>
    <n v="7"/>
    <n v="7"/>
    <n v="10"/>
    <n v="3"/>
    <n v="472"/>
    <n v="1"/>
    <n v="67"/>
    <n v="6.8"/>
    <n v="68"/>
    <n v="100"/>
    <n v="25"/>
    <n v="65"/>
    <x v="0"/>
    <x v="0"/>
  </r>
  <r>
    <x v="910"/>
    <n v="9"/>
    <n v="5"/>
    <n v="8"/>
    <n v="4"/>
    <n v="6"/>
    <n v="2"/>
    <n v="61"/>
    <n v="1"/>
    <n v="76"/>
    <n v="6.4"/>
    <n v="64"/>
    <n v="40"/>
    <n v="20"/>
    <n v="44"/>
    <x v="2"/>
    <x v="0"/>
  </r>
  <r>
    <x v="911"/>
    <n v="10"/>
    <n v="5"/>
    <n v="5"/>
    <n v="10"/>
    <n v="1"/>
    <n v="0"/>
    <n v="366"/>
    <n v="1"/>
    <n v="76"/>
    <n v="6.2"/>
    <n v="62"/>
    <n v="80"/>
    <n v="10"/>
    <n v="52"/>
    <x v="2"/>
    <x v="0"/>
  </r>
  <r>
    <x v="912"/>
    <n v="9"/>
    <n v="5"/>
    <n v="7"/>
    <n v="9"/>
    <n v="10"/>
    <n v="1"/>
    <n v="88"/>
    <n v="5"/>
    <n v="67"/>
    <n v="8"/>
    <n v="80"/>
    <n v="40"/>
    <n v="55"/>
    <n v="61"/>
    <x v="0"/>
    <x v="0"/>
  </r>
  <r>
    <x v="913"/>
    <n v="7"/>
    <n v="1"/>
    <n v="8"/>
    <n v="6"/>
    <n v="6"/>
    <n v="4"/>
    <n v="228"/>
    <n v="3"/>
    <n v="58"/>
    <n v="5.6"/>
    <n v="56"/>
    <n v="60"/>
    <n v="50"/>
    <n v="55"/>
    <x v="0"/>
    <x v="0"/>
  </r>
  <r>
    <x v="914"/>
    <n v="8"/>
    <n v="10"/>
    <n v="2"/>
    <n v="2"/>
    <n v="7"/>
    <n v="2"/>
    <n v="346"/>
    <n v="2"/>
    <n v="90"/>
    <n v="5.8"/>
    <n v="58"/>
    <n v="80"/>
    <n v="30"/>
    <n v="56"/>
    <x v="2"/>
    <x v="0"/>
  </r>
  <r>
    <x v="915"/>
    <n v="1"/>
    <n v="3"/>
    <n v="2"/>
    <n v="2"/>
    <n v="9"/>
    <n v="5"/>
    <n v="291"/>
    <n v="0"/>
    <n v="81"/>
    <n v="3.4"/>
    <n v="34"/>
    <n v="80"/>
    <n v="25"/>
    <n v="45"/>
    <x v="2"/>
    <x v="0"/>
  </r>
  <r>
    <x v="916"/>
    <n v="1"/>
    <n v="6"/>
    <n v="8"/>
    <n v="2"/>
    <n v="3"/>
    <n v="2"/>
    <n v="364"/>
    <n v="2"/>
    <n v="94"/>
    <n v="4"/>
    <n v="40"/>
    <n v="80"/>
    <n v="30"/>
    <n v="49"/>
    <x v="2"/>
    <x v="0"/>
  </r>
  <r>
    <x v="917"/>
    <n v="5"/>
    <n v="8"/>
    <n v="5"/>
    <n v="7"/>
    <n v="2"/>
    <n v="8"/>
    <n v="146"/>
    <n v="4"/>
    <n v="52"/>
    <n v="5.4"/>
    <n v="54"/>
    <n v="40"/>
    <n v="80"/>
    <n v="58"/>
    <x v="0"/>
    <x v="0"/>
  </r>
  <r>
    <x v="918"/>
    <n v="4"/>
    <n v="2"/>
    <n v="4"/>
    <n v="8"/>
    <n v="6"/>
    <n v="8"/>
    <n v="192"/>
    <n v="4"/>
    <n v="75"/>
    <n v="4.8"/>
    <n v="48"/>
    <n v="60"/>
    <n v="80"/>
    <n v="61"/>
    <x v="2"/>
    <x v="0"/>
  </r>
  <r>
    <x v="919"/>
    <n v="3"/>
    <n v="3"/>
    <n v="8"/>
    <n v="3"/>
    <n v="8"/>
    <n v="2"/>
    <n v="168"/>
    <n v="0"/>
    <n v="58"/>
    <n v="5"/>
    <n v="50"/>
    <n v="60"/>
    <n v="10"/>
    <n v="41"/>
    <x v="0"/>
    <x v="0"/>
  </r>
  <r>
    <x v="920"/>
    <n v="5"/>
    <n v="5"/>
    <n v="3"/>
    <n v="5"/>
    <n v="2"/>
    <n v="5"/>
    <n v="295"/>
    <n v="3"/>
    <n v="45"/>
    <n v="4"/>
    <n v="40"/>
    <n v="80"/>
    <n v="55"/>
    <n v="57"/>
    <x v="1"/>
    <x v="0"/>
  </r>
  <r>
    <x v="921"/>
    <n v="4"/>
    <n v="7"/>
    <n v="3"/>
    <n v="9"/>
    <n v="9"/>
    <n v="6"/>
    <n v="130"/>
    <n v="2"/>
    <n v="45"/>
    <n v="6.4"/>
    <n v="64"/>
    <n v="40"/>
    <n v="50"/>
    <n v="53"/>
    <x v="1"/>
    <x v="0"/>
  </r>
  <r>
    <x v="922"/>
    <n v="7"/>
    <n v="9"/>
    <n v="6"/>
    <n v="4"/>
    <n v="10"/>
    <n v="5"/>
    <n v="329"/>
    <n v="0"/>
    <n v="73"/>
    <n v="7.2"/>
    <n v="72"/>
    <n v="80"/>
    <n v="25"/>
    <n v="60"/>
    <x v="0"/>
    <x v="0"/>
  </r>
  <r>
    <x v="923"/>
    <n v="9"/>
    <n v="2"/>
    <n v="1"/>
    <n v="5"/>
    <n v="2"/>
    <n v="7"/>
    <n v="456"/>
    <n v="1"/>
    <n v="83"/>
    <n v="3.8"/>
    <n v="38"/>
    <n v="100"/>
    <n v="45"/>
    <n v="59"/>
    <x v="2"/>
    <x v="0"/>
  </r>
  <r>
    <x v="924"/>
    <n v="3"/>
    <n v="2"/>
    <n v="5"/>
    <n v="2"/>
    <n v="2"/>
    <n v="1"/>
    <n v="240"/>
    <n v="0"/>
    <n v="80"/>
    <n v="2.8"/>
    <n v="28"/>
    <n v="60"/>
    <n v="5"/>
    <n v="31"/>
    <x v="2"/>
    <x v="2"/>
  </r>
  <r>
    <x v="925"/>
    <n v="5"/>
    <n v="4"/>
    <n v="8"/>
    <n v="4"/>
    <n v="10"/>
    <n v="5"/>
    <n v="408"/>
    <n v="3"/>
    <n v="80"/>
    <n v="6.2"/>
    <n v="62"/>
    <n v="100"/>
    <n v="55"/>
    <n v="71"/>
    <x v="2"/>
    <x v="1"/>
  </r>
  <r>
    <x v="926"/>
    <n v="1"/>
    <n v="7"/>
    <n v="1"/>
    <n v="4"/>
    <n v="7"/>
    <n v="2"/>
    <n v="193"/>
    <n v="4"/>
    <n v="88"/>
    <n v="4"/>
    <n v="40"/>
    <n v="60"/>
    <n v="50"/>
    <n v="49"/>
    <x v="2"/>
    <x v="0"/>
  </r>
  <r>
    <x v="927"/>
    <n v="2"/>
    <n v="3"/>
    <n v="9"/>
    <n v="10"/>
    <n v="7"/>
    <n v="6"/>
    <n v="356"/>
    <n v="2"/>
    <n v="67"/>
    <n v="6.2"/>
    <n v="62"/>
    <n v="80"/>
    <n v="50"/>
    <n v="64"/>
    <x v="0"/>
    <x v="0"/>
  </r>
  <r>
    <x v="928"/>
    <n v="9"/>
    <n v="4"/>
    <n v="1"/>
    <n v="6"/>
    <n v="3"/>
    <n v="0"/>
    <n v="432"/>
    <n v="0"/>
    <n v="72"/>
    <n v="4.5999999999999996"/>
    <n v="46"/>
    <n v="100"/>
    <n v="0"/>
    <n v="48"/>
    <x v="0"/>
    <x v="0"/>
  </r>
  <r>
    <x v="929"/>
    <n v="4"/>
    <n v="8"/>
    <n v="3"/>
    <n v="7"/>
    <n v="4"/>
    <n v="2"/>
    <n v="329"/>
    <n v="2"/>
    <n v="84"/>
    <n v="5.2"/>
    <n v="52"/>
    <n v="80"/>
    <n v="30"/>
    <n v="54"/>
    <x v="2"/>
    <x v="0"/>
  </r>
  <r>
    <x v="930"/>
    <n v="5"/>
    <n v="2"/>
    <n v="2"/>
    <n v="6"/>
    <n v="2"/>
    <n v="3"/>
    <n v="334"/>
    <n v="3"/>
    <n v="46"/>
    <n v="3.4"/>
    <n v="34"/>
    <n v="80"/>
    <n v="45"/>
    <n v="51"/>
    <x v="1"/>
    <x v="0"/>
  </r>
  <r>
    <x v="931"/>
    <n v="9"/>
    <n v="2"/>
    <n v="10"/>
    <n v="3"/>
    <n v="1"/>
    <n v="1"/>
    <n v="68"/>
    <n v="2"/>
    <n v="47"/>
    <n v="5"/>
    <n v="50"/>
    <n v="40"/>
    <n v="25"/>
    <n v="40"/>
    <x v="1"/>
    <x v="0"/>
  </r>
  <r>
    <x v="932"/>
    <n v="9"/>
    <n v="4"/>
    <n v="3"/>
    <n v="10"/>
    <n v="5"/>
    <n v="3"/>
    <n v="350"/>
    <n v="5"/>
    <n v="54"/>
    <n v="6.2"/>
    <n v="62"/>
    <n v="80"/>
    <n v="65"/>
    <n v="68"/>
    <x v="0"/>
    <x v="0"/>
  </r>
  <r>
    <x v="933"/>
    <n v="5"/>
    <n v="2"/>
    <n v="4"/>
    <n v="5"/>
    <n v="1"/>
    <n v="8"/>
    <n v="425"/>
    <n v="2"/>
    <n v="82"/>
    <n v="3.4"/>
    <n v="34"/>
    <n v="100"/>
    <n v="60"/>
    <n v="62"/>
    <x v="2"/>
    <x v="0"/>
  </r>
  <r>
    <x v="934"/>
    <n v="10"/>
    <n v="7"/>
    <n v="6"/>
    <n v="3"/>
    <n v="3"/>
    <n v="5"/>
    <n v="56"/>
    <n v="4"/>
    <n v="63"/>
    <n v="5.8"/>
    <n v="58"/>
    <n v="40"/>
    <n v="65"/>
    <n v="55"/>
    <x v="0"/>
    <x v="0"/>
  </r>
  <r>
    <x v="935"/>
    <n v="4"/>
    <n v="3"/>
    <n v="8"/>
    <n v="5"/>
    <n v="3"/>
    <n v="7"/>
    <n v="467"/>
    <n v="0"/>
    <n v="60"/>
    <n v="4.5999999999999996"/>
    <n v="46"/>
    <n v="100"/>
    <n v="35"/>
    <n v="59"/>
    <x v="0"/>
    <x v="0"/>
  </r>
  <r>
    <x v="936"/>
    <n v="10"/>
    <n v="3"/>
    <n v="4"/>
    <n v="4"/>
    <n v="1"/>
    <n v="7"/>
    <n v="402"/>
    <n v="1"/>
    <n v="66"/>
    <n v="4.4000000000000004"/>
    <n v="44"/>
    <n v="100"/>
    <n v="45"/>
    <n v="61"/>
    <x v="0"/>
    <x v="0"/>
  </r>
  <r>
    <x v="937"/>
    <n v="9"/>
    <n v="9"/>
    <n v="4"/>
    <n v="2"/>
    <n v="7"/>
    <n v="1"/>
    <n v="346"/>
    <n v="3"/>
    <n v="54"/>
    <n v="6.2"/>
    <n v="62"/>
    <n v="80"/>
    <n v="35"/>
    <n v="59"/>
    <x v="0"/>
    <x v="0"/>
  </r>
  <r>
    <x v="938"/>
    <n v="9"/>
    <n v="3"/>
    <n v="10"/>
    <n v="6"/>
    <n v="2"/>
    <n v="8"/>
    <n v="324"/>
    <n v="0"/>
    <n v="84"/>
    <n v="6"/>
    <n v="60"/>
    <n v="80"/>
    <n v="40"/>
    <n v="60"/>
    <x v="2"/>
    <x v="0"/>
  </r>
  <r>
    <x v="939"/>
    <n v="10"/>
    <n v="6"/>
    <n v="6"/>
    <n v="9"/>
    <n v="8"/>
    <n v="3"/>
    <n v="316"/>
    <n v="2"/>
    <n v="62"/>
    <n v="7.8"/>
    <n v="78"/>
    <n v="80"/>
    <n v="35"/>
    <n v="66"/>
    <x v="0"/>
    <x v="0"/>
  </r>
  <r>
    <x v="940"/>
    <n v="5"/>
    <n v="5"/>
    <n v="5"/>
    <n v="7"/>
    <n v="9"/>
    <n v="0"/>
    <n v="74"/>
    <n v="2"/>
    <n v="89"/>
    <n v="6.2"/>
    <n v="62"/>
    <n v="40"/>
    <n v="20"/>
    <n v="43"/>
    <x v="2"/>
    <x v="0"/>
  </r>
  <r>
    <x v="941"/>
    <n v="3"/>
    <n v="9"/>
    <n v="3"/>
    <n v="8"/>
    <n v="8"/>
    <n v="3"/>
    <n v="245"/>
    <n v="2"/>
    <n v="40"/>
    <n v="6.2"/>
    <n v="62"/>
    <n v="60"/>
    <n v="35"/>
    <n v="53"/>
    <x v="1"/>
    <x v="0"/>
  </r>
  <r>
    <x v="942"/>
    <n v="1"/>
    <n v="6"/>
    <n v="9"/>
    <n v="1"/>
    <n v="1"/>
    <n v="2"/>
    <n v="306"/>
    <n v="0"/>
    <n v="50"/>
    <n v="3.6"/>
    <n v="36"/>
    <n v="80"/>
    <n v="10"/>
    <n v="41"/>
    <x v="0"/>
    <x v="0"/>
  </r>
  <r>
    <x v="943"/>
    <n v="1"/>
    <n v="4"/>
    <n v="4"/>
    <n v="5"/>
    <n v="2"/>
    <n v="6"/>
    <n v="338"/>
    <n v="3"/>
    <n v="94"/>
    <n v="3.2"/>
    <n v="32"/>
    <n v="80"/>
    <n v="60"/>
    <n v="55"/>
    <x v="2"/>
    <x v="0"/>
  </r>
  <r>
    <x v="944"/>
    <n v="3"/>
    <n v="9"/>
    <n v="5"/>
    <n v="2"/>
    <n v="3"/>
    <n v="6"/>
    <n v="247"/>
    <n v="1"/>
    <n v="64"/>
    <n v="4.4000000000000004"/>
    <n v="44"/>
    <n v="60"/>
    <n v="40"/>
    <n v="48"/>
    <x v="0"/>
    <x v="0"/>
  </r>
  <r>
    <x v="945"/>
    <n v="1"/>
    <n v="9"/>
    <n v="1"/>
    <n v="7"/>
    <n v="1"/>
    <n v="3"/>
    <n v="318"/>
    <n v="5"/>
    <n v="79"/>
    <n v="3.8"/>
    <n v="38"/>
    <n v="80"/>
    <n v="65"/>
    <n v="59"/>
    <x v="2"/>
    <x v="0"/>
  </r>
  <r>
    <x v="946"/>
    <n v="3"/>
    <n v="1"/>
    <n v="3"/>
    <n v="10"/>
    <n v="6"/>
    <n v="3"/>
    <n v="346"/>
    <n v="5"/>
    <n v="81"/>
    <n v="4.5999999999999996"/>
    <n v="46"/>
    <n v="80"/>
    <n v="65"/>
    <n v="62"/>
    <x v="2"/>
    <x v="0"/>
  </r>
  <r>
    <x v="947"/>
    <n v="5"/>
    <n v="6"/>
    <n v="9"/>
    <n v="1"/>
    <n v="1"/>
    <n v="6"/>
    <n v="135"/>
    <n v="2"/>
    <n v="71"/>
    <n v="4.4000000000000004"/>
    <n v="44"/>
    <n v="40"/>
    <n v="50"/>
    <n v="45"/>
    <x v="0"/>
    <x v="0"/>
  </r>
  <r>
    <x v="948"/>
    <n v="1"/>
    <n v="5"/>
    <n v="10"/>
    <n v="6"/>
    <n v="2"/>
    <n v="2"/>
    <n v="161"/>
    <n v="1"/>
    <n v="56"/>
    <n v="4.8"/>
    <n v="48"/>
    <n v="60"/>
    <n v="20"/>
    <n v="43"/>
    <x v="0"/>
    <x v="0"/>
  </r>
  <r>
    <x v="949"/>
    <n v="10"/>
    <n v="6"/>
    <n v="8"/>
    <n v="6"/>
    <n v="6"/>
    <n v="3"/>
    <n v="401"/>
    <n v="4"/>
    <n v="54"/>
    <n v="7.2"/>
    <n v="72"/>
    <n v="100"/>
    <n v="55"/>
    <n v="75"/>
    <x v="0"/>
    <x v="1"/>
  </r>
  <r>
    <x v="950"/>
    <n v="8"/>
    <n v="3"/>
    <n v="2"/>
    <n v="4"/>
    <n v="3"/>
    <n v="7"/>
    <n v="485"/>
    <n v="2"/>
    <n v="92"/>
    <n v="4"/>
    <n v="40"/>
    <n v="100"/>
    <n v="55"/>
    <n v="63"/>
    <x v="2"/>
    <x v="0"/>
  </r>
  <r>
    <x v="951"/>
    <n v="2"/>
    <n v="3"/>
    <n v="5"/>
    <n v="2"/>
    <n v="6"/>
    <n v="5"/>
    <n v="488"/>
    <n v="2"/>
    <n v="95"/>
    <n v="3.6"/>
    <n v="36"/>
    <n v="100"/>
    <n v="45"/>
    <n v="58"/>
    <x v="2"/>
    <x v="0"/>
  </r>
  <r>
    <x v="952"/>
    <n v="7"/>
    <n v="7"/>
    <n v="9"/>
    <n v="7"/>
    <n v="7"/>
    <n v="1"/>
    <n v="347"/>
    <n v="4"/>
    <n v="51"/>
    <n v="7.4"/>
    <n v="74"/>
    <n v="80"/>
    <n v="45"/>
    <n v="67"/>
    <x v="0"/>
    <x v="0"/>
  </r>
  <r>
    <x v="953"/>
    <n v="10"/>
    <n v="9"/>
    <n v="10"/>
    <n v="4"/>
    <n v="3"/>
    <n v="7"/>
    <n v="432"/>
    <n v="5"/>
    <n v="91"/>
    <n v="7.2"/>
    <n v="72"/>
    <n v="100"/>
    <n v="85"/>
    <n v="84"/>
    <x v="2"/>
    <x v="1"/>
  </r>
  <r>
    <x v="954"/>
    <n v="9"/>
    <n v="7"/>
    <n v="8"/>
    <n v="4"/>
    <n v="10"/>
    <n v="7"/>
    <n v="190"/>
    <n v="2"/>
    <n v="82"/>
    <n v="7.6"/>
    <n v="76"/>
    <n v="60"/>
    <n v="55"/>
    <n v="65"/>
    <x v="2"/>
    <x v="0"/>
  </r>
  <r>
    <x v="955"/>
    <n v="10"/>
    <n v="4"/>
    <n v="6"/>
    <n v="1"/>
    <n v="4"/>
    <n v="4"/>
    <n v="120"/>
    <n v="1"/>
    <n v="53"/>
    <n v="5"/>
    <n v="50"/>
    <n v="40"/>
    <n v="30"/>
    <n v="41"/>
    <x v="0"/>
    <x v="0"/>
  </r>
  <r>
    <x v="956"/>
    <n v="7"/>
    <n v="1"/>
    <n v="10"/>
    <n v="9"/>
    <n v="2"/>
    <n v="3"/>
    <n v="88"/>
    <n v="3"/>
    <n v="47"/>
    <n v="5.8"/>
    <n v="58"/>
    <n v="40"/>
    <n v="45"/>
    <n v="49"/>
    <x v="1"/>
    <x v="0"/>
  </r>
  <r>
    <x v="957"/>
    <n v="4"/>
    <n v="10"/>
    <n v="8"/>
    <n v="10"/>
    <n v="7"/>
    <n v="7"/>
    <n v="462"/>
    <n v="1"/>
    <n v="85"/>
    <n v="7.8"/>
    <n v="78"/>
    <n v="100"/>
    <n v="45"/>
    <n v="75"/>
    <x v="2"/>
    <x v="1"/>
  </r>
  <r>
    <x v="958"/>
    <n v="2"/>
    <n v="7"/>
    <n v="9"/>
    <n v="2"/>
    <n v="8"/>
    <n v="1"/>
    <n v="119"/>
    <n v="0"/>
    <n v="78"/>
    <n v="5.6"/>
    <n v="56"/>
    <n v="40"/>
    <n v="5"/>
    <n v="36"/>
    <x v="2"/>
    <x v="2"/>
  </r>
  <r>
    <x v="959"/>
    <n v="1"/>
    <n v="10"/>
    <n v="9"/>
    <n v="5"/>
    <n v="10"/>
    <n v="6"/>
    <n v="408"/>
    <n v="5"/>
    <n v="89"/>
    <n v="7"/>
    <n v="70"/>
    <n v="100"/>
    <n v="80"/>
    <n v="82"/>
    <x v="2"/>
    <x v="1"/>
  </r>
  <r>
    <x v="960"/>
    <n v="3"/>
    <n v="7"/>
    <n v="7"/>
    <n v="10"/>
    <n v="6"/>
    <n v="8"/>
    <n v="279"/>
    <n v="4"/>
    <n v="48"/>
    <n v="6.6"/>
    <n v="66"/>
    <n v="80"/>
    <n v="80"/>
    <n v="74"/>
    <x v="1"/>
    <x v="1"/>
  </r>
  <r>
    <x v="961"/>
    <n v="1"/>
    <n v="3"/>
    <n v="3"/>
    <n v="5"/>
    <n v="10"/>
    <n v="2"/>
    <n v="154"/>
    <n v="2"/>
    <n v="54"/>
    <n v="4.4000000000000004"/>
    <n v="44"/>
    <n v="60"/>
    <n v="30"/>
    <n v="45"/>
    <x v="0"/>
    <x v="0"/>
  </r>
  <r>
    <x v="962"/>
    <n v="4"/>
    <n v="6"/>
    <n v="9"/>
    <n v="8"/>
    <n v="5"/>
    <n v="8"/>
    <n v="286"/>
    <n v="1"/>
    <n v="93"/>
    <n v="6.4"/>
    <n v="64"/>
    <n v="80"/>
    <n v="50"/>
    <n v="65"/>
    <x v="2"/>
    <x v="0"/>
  </r>
  <r>
    <x v="963"/>
    <n v="10"/>
    <n v="7"/>
    <n v="7"/>
    <n v="3"/>
    <n v="8"/>
    <n v="7"/>
    <n v="328"/>
    <n v="0"/>
    <n v="81"/>
    <n v="7"/>
    <n v="70"/>
    <n v="80"/>
    <n v="35"/>
    <n v="63"/>
    <x v="2"/>
    <x v="0"/>
  </r>
  <r>
    <x v="964"/>
    <n v="1"/>
    <n v="10"/>
    <n v="2"/>
    <n v="7"/>
    <n v="8"/>
    <n v="2"/>
    <n v="60"/>
    <n v="5"/>
    <n v="45"/>
    <n v="5.6"/>
    <n v="56"/>
    <n v="40"/>
    <n v="60"/>
    <n v="52"/>
    <x v="1"/>
    <x v="0"/>
  </r>
  <r>
    <x v="965"/>
    <n v="4"/>
    <n v="10"/>
    <n v="10"/>
    <n v="8"/>
    <n v="5"/>
    <n v="3"/>
    <n v="80"/>
    <n v="2"/>
    <n v="43"/>
    <n v="7.4"/>
    <n v="74"/>
    <n v="40"/>
    <n v="35"/>
    <n v="52"/>
    <x v="1"/>
    <x v="0"/>
  </r>
  <r>
    <x v="966"/>
    <n v="5"/>
    <n v="5"/>
    <n v="9"/>
    <n v="8"/>
    <n v="3"/>
    <n v="3"/>
    <n v="444"/>
    <n v="0"/>
    <n v="81"/>
    <n v="6"/>
    <n v="60"/>
    <n v="100"/>
    <n v="15"/>
    <n v="59"/>
    <x v="2"/>
    <x v="0"/>
  </r>
  <r>
    <x v="967"/>
    <n v="1"/>
    <n v="9"/>
    <n v="9"/>
    <n v="5"/>
    <n v="3"/>
    <n v="5"/>
    <n v="111"/>
    <n v="1"/>
    <n v="43"/>
    <n v="5.4"/>
    <n v="54"/>
    <n v="40"/>
    <n v="35"/>
    <n v="44"/>
    <x v="1"/>
    <x v="0"/>
  </r>
  <r>
    <x v="968"/>
    <n v="8"/>
    <n v="10"/>
    <n v="5"/>
    <n v="10"/>
    <n v="8"/>
    <n v="5"/>
    <n v="256"/>
    <n v="0"/>
    <n v="80"/>
    <n v="8.1999999999999993"/>
    <n v="82"/>
    <n v="80"/>
    <n v="25"/>
    <n v="64"/>
    <x v="2"/>
    <x v="0"/>
  </r>
  <r>
    <x v="969"/>
    <n v="7"/>
    <n v="4"/>
    <n v="5"/>
    <n v="10"/>
    <n v="6"/>
    <n v="5"/>
    <n v="316"/>
    <n v="3"/>
    <n v="87"/>
    <n v="6.4"/>
    <n v="64"/>
    <n v="80"/>
    <n v="55"/>
    <n v="66"/>
    <x v="2"/>
    <x v="0"/>
  </r>
  <r>
    <x v="970"/>
    <n v="3"/>
    <n v="2"/>
    <n v="9"/>
    <n v="5"/>
    <n v="4"/>
    <n v="8"/>
    <n v="68"/>
    <n v="0"/>
    <n v="80"/>
    <n v="4.5999999999999996"/>
    <n v="46"/>
    <n v="40"/>
    <n v="40"/>
    <n v="42"/>
    <x v="2"/>
    <x v="0"/>
  </r>
  <r>
    <x v="971"/>
    <n v="5"/>
    <n v="7"/>
    <n v="10"/>
    <n v="3"/>
    <n v="9"/>
    <n v="7"/>
    <n v="318"/>
    <n v="5"/>
    <n v="95"/>
    <n v="6.8"/>
    <n v="68"/>
    <n v="80"/>
    <n v="85"/>
    <n v="77"/>
    <x v="2"/>
    <x v="1"/>
  </r>
  <r>
    <x v="972"/>
    <n v="6"/>
    <n v="10"/>
    <n v="1"/>
    <n v="6"/>
    <n v="6"/>
    <n v="2"/>
    <n v="470"/>
    <n v="3"/>
    <n v="89"/>
    <n v="5.8"/>
    <n v="58"/>
    <n v="100"/>
    <n v="40"/>
    <n v="65"/>
    <x v="2"/>
    <x v="0"/>
  </r>
  <r>
    <x v="973"/>
    <n v="8"/>
    <n v="10"/>
    <n v="2"/>
    <n v="4"/>
    <n v="6"/>
    <n v="3"/>
    <n v="125"/>
    <n v="1"/>
    <n v="42"/>
    <n v="6"/>
    <n v="60"/>
    <n v="40"/>
    <n v="25"/>
    <n v="44"/>
    <x v="1"/>
    <x v="0"/>
  </r>
  <r>
    <x v="974"/>
    <n v="6"/>
    <n v="7"/>
    <n v="7"/>
    <n v="5"/>
    <n v="2"/>
    <n v="2"/>
    <n v="304"/>
    <n v="5"/>
    <n v="90"/>
    <n v="5.4"/>
    <n v="54"/>
    <n v="80"/>
    <n v="60"/>
    <n v="64"/>
    <x v="2"/>
    <x v="0"/>
  </r>
  <r>
    <x v="975"/>
    <n v="1"/>
    <n v="2"/>
    <n v="3"/>
    <n v="1"/>
    <n v="5"/>
    <n v="3"/>
    <n v="60"/>
    <n v="5"/>
    <n v="91"/>
    <n v="2.4"/>
    <n v="24"/>
    <n v="40"/>
    <n v="65"/>
    <n v="41"/>
    <x v="2"/>
    <x v="0"/>
  </r>
  <r>
    <x v="976"/>
    <n v="7"/>
    <n v="8"/>
    <n v="2"/>
    <n v="2"/>
    <n v="3"/>
    <n v="1"/>
    <n v="200"/>
    <n v="3"/>
    <n v="75"/>
    <n v="4.4000000000000004"/>
    <n v="44"/>
    <n v="60"/>
    <n v="35"/>
    <n v="46"/>
    <x v="2"/>
    <x v="0"/>
  </r>
  <r>
    <x v="977"/>
    <n v="10"/>
    <n v="5"/>
    <n v="3"/>
    <n v="6"/>
    <n v="1"/>
    <n v="2"/>
    <n v="231"/>
    <n v="4"/>
    <n v="43"/>
    <n v="5"/>
    <n v="50"/>
    <n v="60"/>
    <n v="50"/>
    <n v="53"/>
    <x v="1"/>
    <x v="0"/>
  </r>
  <r>
    <x v="978"/>
    <n v="4"/>
    <n v="5"/>
    <n v="3"/>
    <n v="8"/>
    <n v="10"/>
    <n v="1"/>
    <n v="232"/>
    <n v="5"/>
    <n v="80"/>
    <n v="6"/>
    <n v="60"/>
    <n v="60"/>
    <n v="55"/>
    <n v="59"/>
    <x v="2"/>
    <x v="0"/>
  </r>
  <r>
    <x v="979"/>
    <n v="4"/>
    <n v="5"/>
    <n v="7"/>
    <n v="1"/>
    <n v="3"/>
    <n v="7"/>
    <n v="136"/>
    <n v="2"/>
    <n v="63"/>
    <n v="4"/>
    <n v="40"/>
    <n v="40"/>
    <n v="55"/>
    <n v="45"/>
    <x v="0"/>
    <x v="0"/>
  </r>
  <r>
    <x v="980"/>
    <n v="6"/>
    <n v="9"/>
    <n v="3"/>
    <n v="10"/>
    <n v="9"/>
    <n v="5"/>
    <n v="204"/>
    <n v="1"/>
    <n v="47"/>
    <n v="7.4"/>
    <n v="74"/>
    <n v="60"/>
    <n v="35"/>
    <n v="58"/>
    <x v="1"/>
    <x v="0"/>
  </r>
  <r>
    <x v="981"/>
    <n v="6"/>
    <n v="5"/>
    <n v="3"/>
    <n v="5"/>
    <n v="2"/>
    <n v="8"/>
    <n v="381"/>
    <n v="5"/>
    <n v="81"/>
    <n v="4.2"/>
    <n v="42"/>
    <n v="80"/>
    <n v="90"/>
    <n v="68"/>
    <x v="2"/>
    <x v="0"/>
  </r>
  <r>
    <x v="982"/>
    <n v="4"/>
    <n v="8"/>
    <n v="8"/>
    <n v="7"/>
    <n v="9"/>
    <n v="5"/>
    <n v="458"/>
    <n v="2"/>
    <n v="58"/>
    <n v="7.2"/>
    <n v="72"/>
    <n v="100"/>
    <n v="45"/>
    <n v="72"/>
    <x v="0"/>
    <x v="1"/>
  </r>
  <r>
    <x v="983"/>
    <n v="4"/>
    <n v="8"/>
    <n v="3"/>
    <n v="7"/>
    <n v="2"/>
    <n v="3"/>
    <n v="126"/>
    <n v="3"/>
    <n v="88"/>
    <n v="4.8"/>
    <n v="48"/>
    <n v="40"/>
    <n v="45"/>
    <n v="45"/>
    <x v="2"/>
    <x v="0"/>
  </r>
  <r>
    <x v="984"/>
    <n v="9"/>
    <n v="10"/>
    <n v="8"/>
    <n v="5"/>
    <n v="7"/>
    <n v="4"/>
    <n v="372"/>
    <n v="5"/>
    <n v="86"/>
    <n v="7.8"/>
    <n v="78"/>
    <n v="80"/>
    <n v="70"/>
    <n v="76"/>
    <x v="2"/>
    <x v="1"/>
  </r>
  <r>
    <x v="985"/>
    <n v="5"/>
    <n v="7"/>
    <n v="3"/>
    <n v="6"/>
    <n v="5"/>
    <n v="4"/>
    <n v="355"/>
    <n v="1"/>
    <n v="74"/>
    <n v="5.2"/>
    <n v="52"/>
    <n v="80"/>
    <n v="30"/>
    <n v="54"/>
    <x v="0"/>
    <x v="0"/>
  </r>
  <r>
    <x v="986"/>
    <n v="8"/>
    <n v="10"/>
    <n v="10"/>
    <n v="5"/>
    <n v="8"/>
    <n v="5"/>
    <n v="245"/>
    <n v="2"/>
    <n v="92"/>
    <n v="8.1999999999999993"/>
    <n v="82"/>
    <n v="60"/>
    <n v="45"/>
    <n v="64"/>
    <x v="2"/>
    <x v="0"/>
  </r>
  <r>
    <x v="987"/>
    <n v="5"/>
    <n v="6"/>
    <n v="9"/>
    <n v="4"/>
    <n v="1"/>
    <n v="4"/>
    <n v="375"/>
    <n v="2"/>
    <n v="76"/>
    <n v="5"/>
    <n v="50"/>
    <n v="80"/>
    <n v="40"/>
    <n v="56"/>
    <x v="2"/>
    <x v="0"/>
  </r>
  <r>
    <x v="988"/>
    <n v="8"/>
    <n v="6"/>
    <n v="2"/>
    <n v="6"/>
    <n v="6"/>
    <n v="4"/>
    <n v="434"/>
    <n v="1"/>
    <n v="92"/>
    <n v="5.6"/>
    <n v="56"/>
    <n v="100"/>
    <n v="30"/>
    <n v="61"/>
    <x v="2"/>
    <x v="0"/>
  </r>
  <r>
    <x v="989"/>
    <n v="2"/>
    <n v="2"/>
    <n v="3"/>
    <n v="2"/>
    <n v="5"/>
    <n v="1"/>
    <n v="236"/>
    <n v="5"/>
    <n v="61"/>
    <n v="2.8"/>
    <n v="28"/>
    <n v="60"/>
    <n v="55"/>
    <n v="46"/>
    <x v="0"/>
    <x v="0"/>
  </r>
  <r>
    <x v="990"/>
    <n v="2"/>
    <n v="7"/>
    <n v="10"/>
    <n v="7"/>
    <n v="8"/>
    <n v="0"/>
    <n v="78"/>
    <n v="5"/>
    <n v="56"/>
    <n v="6.8"/>
    <n v="68"/>
    <n v="40"/>
    <n v="50"/>
    <n v="54"/>
    <x v="0"/>
    <x v="0"/>
  </r>
  <r>
    <x v="991"/>
    <n v="8"/>
    <n v="2"/>
    <n v="7"/>
    <n v="3"/>
    <n v="1"/>
    <n v="6"/>
    <n v="213"/>
    <n v="0"/>
    <n v="90"/>
    <n v="4.2"/>
    <n v="42"/>
    <n v="60"/>
    <n v="30"/>
    <n v="44"/>
    <x v="2"/>
    <x v="0"/>
  </r>
  <r>
    <x v="992"/>
    <n v="3"/>
    <n v="10"/>
    <n v="2"/>
    <n v="3"/>
    <n v="7"/>
    <n v="0"/>
    <n v="169"/>
    <n v="3"/>
    <n v="93"/>
    <n v="5"/>
    <n v="50"/>
    <n v="60"/>
    <n v="30"/>
    <n v="47"/>
    <x v="2"/>
    <x v="0"/>
  </r>
  <r>
    <x v="993"/>
    <n v="2"/>
    <n v="9"/>
    <n v="8"/>
    <n v="4"/>
    <n v="1"/>
    <n v="2"/>
    <n v="188"/>
    <n v="3"/>
    <n v="87"/>
    <n v="4.8"/>
    <n v="48"/>
    <n v="60"/>
    <n v="40"/>
    <n v="49"/>
    <x v="2"/>
    <x v="0"/>
  </r>
  <r>
    <x v="994"/>
    <n v="1"/>
    <n v="3"/>
    <n v="8"/>
    <n v="2"/>
    <n v="3"/>
    <n v="1"/>
    <n v="212"/>
    <n v="1"/>
    <n v="89"/>
    <n v="3.4"/>
    <n v="34"/>
    <n v="60"/>
    <n v="15"/>
    <n v="36"/>
    <x v="2"/>
    <x v="2"/>
  </r>
  <r>
    <x v="995"/>
    <n v="4"/>
    <n v="3"/>
    <n v="6"/>
    <n v="6"/>
    <n v="5"/>
    <n v="7"/>
    <n v="271"/>
    <n v="4"/>
    <n v="47"/>
    <n v="4.8"/>
    <n v="48"/>
    <n v="80"/>
    <n v="75"/>
    <n v="66"/>
    <x v="1"/>
    <x v="0"/>
  </r>
  <r>
    <x v="996"/>
    <n v="3"/>
    <n v="4"/>
    <n v="5"/>
    <n v="2"/>
    <n v="6"/>
    <n v="4"/>
    <n v="500"/>
    <n v="1"/>
    <n v="79"/>
    <n v="4"/>
    <n v="40"/>
    <n v="100"/>
    <n v="30"/>
    <n v="55"/>
    <x v="2"/>
    <x v="0"/>
  </r>
  <r>
    <x v="997"/>
    <n v="6"/>
    <n v="9"/>
    <n v="3"/>
    <n v="1"/>
    <n v="5"/>
    <n v="3"/>
    <n v="433"/>
    <n v="1"/>
    <n v="94"/>
    <n v="4.8"/>
    <n v="48"/>
    <n v="100"/>
    <n v="25"/>
    <n v="57"/>
    <x v="2"/>
    <x v="0"/>
  </r>
  <r>
    <x v="998"/>
    <n v="5"/>
    <n v="5"/>
    <n v="4"/>
    <n v="9"/>
    <n v="2"/>
    <n v="3"/>
    <n v="130"/>
    <n v="4"/>
    <n v="84"/>
    <n v="5"/>
    <n v="50"/>
    <n v="40"/>
    <n v="55"/>
    <n v="49"/>
    <x v="2"/>
    <x v="0"/>
  </r>
  <r>
    <x v="999"/>
    <n v="9"/>
    <n v="4"/>
    <n v="10"/>
    <n v="9"/>
    <n v="8"/>
    <n v="0"/>
    <n v="164"/>
    <n v="5"/>
    <n v="64"/>
    <n v="8"/>
    <n v="80"/>
    <n v="60"/>
    <n v="50"/>
    <n v="6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D697C-875D-4298-8364-89EE7401E9B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4">
        <item x="1"/>
        <item x="2"/>
        <item x="0"/>
        <item t="default"/>
      </items>
    </pivotField>
  </pivotFields>
  <rowFields count="1">
    <field x="16"/>
  </rowFields>
  <rowItems count="4">
    <i>
      <x/>
    </i>
    <i>
      <x v="1"/>
    </i>
    <i>
      <x v="2"/>
    </i>
    <i t="grand">
      <x/>
    </i>
  </rowItems>
  <colItems count="1">
    <i/>
  </colItems>
  <dataFields count="1">
    <dataField name="Count of Student_ID" fld="0" subtotal="count" baseField="0" baseItem="1"/>
  </dataFields>
  <chartFormats count="1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4" format="10">
      <pivotArea type="data" outline="0" fieldPosition="0">
        <references count="2">
          <reference field="4294967294" count="1" selected="0">
            <x v="0"/>
          </reference>
          <reference field="16" count="1" selected="0">
            <x v="2"/>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6"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6"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 chart="11"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A97A8-908D-4610-AF83-4021DF636A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DSA_Level" fld="0" baseField="0" baseItem="0"/>
    <dataField name="Sum of Backend_Level" fld="1" baseField="0" baseItem="0"/>
    <dataField name="Sum of Frontend_Level" fld="2" baseField="0" baseItem="0"/>
    <dataField name="Sum of Database_Level" fld="3" baseField="0" baseItem="0"/>
    <dataField name="Sum of AI_Level" fld="4" baseField="0" baseItem="0"/>
  </dataFields>
  <chartFormats count="5">
    <chartFormat chart="9" format="15"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9" format="17" series="1">
      <pivotArea type="data" outline="0" fieldPosition="0">
        <references count="1">
          <reference field="4294967294" count="1" selected="0">
            <x v="2"/>
          </reference>
        </references>
      </pivotArea>
    </chartFormat>
    <chartFormat chart="9" format="18" series="1">
      <pivotArea type="data" outline="0" fieldPosition="0">
        <references count="1">
          <reference field="4294967294" count="1" selected="0">
            <x v="3"/>
          </reference>
        </references>
      </pivotArea>
    </chartFormat>
    <chartFormat chart="9"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3BDA1-A124-4CFB-B64C-9A0625331FE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4">
        <item x="1"/>
        <item x="2"/>
        <item x="0"/>
        <item t="default"/>
      </items>
    </pivotField>
  </pivotFields>
  <rowFields count="1">
    <field x="15"/>
  </rowFields>
  <rowItems count="4">
    <i>
      <x/>
    </i>
    <i>
      <x v="1"/>
    </i>
    <i>
      <x v="2"/>
    </i>
    <i t="grand">
      <x/>
    </i>
  </rowItems>
  <colItems count="1">
    <i/>
  </colItems>
  <dataFields count="1">
    <dataField name="Count of Student_ID" fld="0" subtotal="count" baseField="15" baseItem="0"/>
  </dataFields>
  <chartFormats count="4">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1"/>
          </reference>
        </references>
      </pivotArea>
    </chartFormat>
    <chartFormat chart="5" format="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95FBEA6C-9169-4AC9-B429-5FBE39905AFA}" sourceName="Student_ID">
  <pivotTables>
    <pivotTable tabId="10" name="PivotTable8"/>
  </pivotTables>
  <data>
    <tabular pivotCacheId="1434538044">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40175808-7BF3-4C6B-AF74-DD4BA260E2FB}" sourceName="Placement Status">
  <pivotTables>
    <pivotTable tabId="10" name="PivotTable8"/>
  </pivotTables>
  <data>
    <tabular pivotCacheId="143453804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iness_Level" xr10:uid="{43CFD534-0B56-4D67-AAEF-5D6351BEDE9E}" sourceName="Readiness Level">
  <pivotTables>
    <pivotTable tabId="10" name="PivotTable8"/>
    <pivotTable tabId="8" name="PivotTable6"/>
  </pivotTables>
  <data>
    <tabular pivotCacheId="143453804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1E207F31-58F3-40DA-911C-5055E5651CD3}" cache="Slicer_Student_ID" caption="Student_ID" rowHeight="234950"/>
  <slicer name="Placement Status" xr10:uid="{AA7FF12D-43D4-4C54-9908-157D12A0D488}" cache="Slicer_Placement_Status" caption="Placement Status" rowHeight="234950"/>
  <slicer name="Readiness Level" xr10:uid="{90017F9A-E832-4945-9882-1BCB871747F3}" cache="Slicer_Readiness_Level" caption="Readiness Lev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2"/>
  <sheetViews>
    <sheetView topLeftCell="P1" workbookViewId="0">
      <selection activeCell="Q1003" sqref="Q1003"/>
    </sheetView>
  </sheetViews>
  <sheetFormatPr defaultRowHeight="14.4" x14ac:dyDescent="0.3"/>
  <cols>
    <col min="1" max="1" width="24.44140625" customWidth="1"/>
    <col min="2" max="2" width="19.109375" customWidth="1"/>
    <col min="3" max="3" width="15.6640625" customWidth="1"/>
    <col min="4" max="4" width="17" customWidth="1"/>
    <col min="5" max="5" width="18.21875" customWidth="1"/>
    <col min="6" max="6" width="15.5546875" customWidth="1"/>
    <col min="7" max="7" width="23.44140625" customWidth="1"/>
    <col min="8" max="8" width="16.44140625" customWidth="1"/>
    <col min="9" max="9" width="23.21875" customWidth="1"/>
    <col min="10" max="10" width="14.77734375" bestFit="1" customWidth="1"/>
    <col min="11" max="11" width="19.6640625" customWidth="1"/>
    <col min="12" max="12" width="26" customWidth="1"/>
    <col min="13" max="13" width="29.33203125" customWidth="1"/>
    <col min="14" max="14" width="29" customWidth="1"/>
    <col min="15" max="15" width="33.33203125" customWidth="1"/>
    <col min="16" max="16" width="27.44140625" customWidth="1"/>
    <col min="17" max="17" width="43.33203125" customWidth="1"/>
  </cols>
  <sheetData>
    <row r="1" spans="1:17" x14ac:dyDescent="0.3">
      <c r="A1">
        <f>COUNT(2,1000)</f>
        <v>2</v>
      </c>
      <c r="B1" t="s">
        <v>0</v>
      </c>
      <c r="C1" t="s">
        <v>1</v>
      </c>
      <c r="D1" t="s">
        <v>2</v>
      </c>
      <c r="E1" t="s">
        <v>3</v>
      </c>
      <c r="F1" t="s">
        <v>4</v>
      </c>
      <c r="G1" t="s">
        <v>5</v>
      </c>
      <c r="H1" t="s">
        <v>6</v>
      </c>
      <c r="I1" t="s">
        <v>7</v>
      </c>
      <c r="J1" t="s">
        <v>8</v>
      </c>
      <c r="K1" t="s">
        <v>9</v>
      </c>
      <c r="L1" t="s">
        <v>10</v>
      </c>
      <c r="M1" t="s">
        <v>11</v>
      </c>
      <c r="N1" t="s">
        <v>12</v>
      </c>
      <c r="O1" t="s">
        <v>13</v>
      </c>
      <c r="P1" t="s">
        <v>14</v>
      </c>
      <c r="Q1" t="s">
        <v>25</v>
      </c>
    </row>
    <row r="2" spans="1:17" x14ac:dyDescent="0.3">
      <c r="A2">
        <v>1001</v>
      </c>
      <c r="B2">
        <v>1</v>
      </c>
      <c r="C2">
        <v>9</v>
      </c>
      <c r="D2">
        <v>8</v>
      </c>
      <c r="E2">
        <v>8</v>
      </c>
      <c r="F2">
        <v>1</v>
      </c>
      <c r="G2">
        <v>6</v>
      </c>
      <c r="H2">
        <v>205</v>
      </c>
      <c r="I2">
        <v>1</v>
      </c>
      <c r="J2">
        <v>63</v>
      </c>
      <c r="K2">
        <f>AVERAGE(B2:F2)</f>
        <v>5.4</v>
      </c>
      <c r="L2">
        <f>K2*10</f>
        <v>54</v>
      </c>
      <c r="M2">
        <f>IF(H2&gt;=400,100,IF(H2&gt;=250,80,IF(H2&gt;=150,60,40)))</f>
        <v>60</v>
      </c>
      <c r="N2">
        <f>(G2*5)+(I2*10)</f>
        <v>40</v>
      </c>
      <c r="O2">
        <f>ROUND((L2*0.4)+(M2*0.3)+(N2*0.3),0)</f>
        <v>52</v>
      </c>
      <c r="P2" t="str">
        <f>IF(J2&gt;=75,"Placement Ready",IF(J2&gt;=50,"Needs Improvement","Not Ready"))</f>
        <v>Needs Improvement</v>
      </c>
      <c r="Q2" t="str">
        <f>IF(O2&lt;40,"Low",IF(O2&lt;=70,"Medium","High"))</f>
        <v>Medium</v>
      </c>
    </row>
    <row r="3" spans="1:17" x14ac:dyDescent="0.3">
      <c r="A3">
        <v>1002</v>
      </c>
      <c r="B3">
        <v>9</v>
      </c>
      <c r="C3">
        <v>8</v>
      </c>
      <c r="D3">
        <v>5</v>
      </c>
      <c r="E3">
        <v>9</v>
      </c>
      <c r="F3">
        <v>5</v>
      </c>
      <c r="G3">
        <v>3</v>
      </c>
      <c r="H3">
        <v>405</v>
      </c>
      <c r="I3">
        <v>5</v>
      </c>
      <c r="J3">
        <v>66</v>
      </c>
      <c r="K3">
        <f t="shared" ref="K3:K66" si="0">AVERAGE(B3:F3)</f>
        <v>7.2</v>
      </c>
      <c r="L3">
        <f t="shared" ref="L3:L66" si="1">K3*10</f>
        <v>72</v>
      </c>
      <c r="M3">
        <f t="shared" ref="M3:M66" si="2">IF(H3&gt;=400,100,IF(H3&gt;=250,80,IF(H3&gt;=150,60,40)))</f>
        <v>100</v>
      </c>
      <c r="N3">
        <f t="shared" ref="N3:N66" si="3">(G3*5)+(I3*10)</f>
        <v>65</v>
      </c>
      <c r="O3">
        <f t="shared" ref="O3:O66" si="4">ROUND((L3*0.4)+(M3*0.3)+(N3*0.3),0)</f>
        <v>78</v>
      </c>
      <c r="P3" t="str">
        <f t="shared" ref="P3:P66" si="5">IF(J3&gt;=75,"Placement Ready",IF(J3&gt;=50,"Needs Improvement","Not Ready"))</f>
        <v>Needs Improvement</v>
      </c>
      <c r="Q3" t="str">
        <f t="shared" ref="Q3:Q66" si="6">IF(O3&lt;40,"Low",IF(O3&lt;=70,"Medium","High"))</f>
        <v>High</v>
      </c>
    </row>
    <row r="4" spans="1:17" x14ac:dyDescent="0.3">
      <c r="A4">
        <v>1003</v>
      </c>
      <c r="B4">
        <v>8</v>
      </c>
      <c r="C4">
        <v>4</v>
      </c>
      <c r="D4">
        <v>6</v>
      </c>
      <c r="E4">
        <v>6</v>
      </c>
      <c r="F4">
        <v>2</v>
      </c>
      <c r="G4">
        <v>4</v>
      </c>
      <c r="H4">
        <v>119</v>
      </c>
      <c r="I4">
        <v>1</v>
      </c>
      <c r="J4">
        <v>42</v>
      </c>
      <c r="K4">
        <f t="shared" si="0"/>
        <v>5.2</v>
      </c>
      <c r="L4">
        <f t="shared" si="1"/>
        <v>52</v>
      </c>
      <c r="M4">
        <f t="shared" si="2"/>
        <v>40</v>
      </c>
      <c r="N4">
        <f t="shared" si="3"/>
        <v>30</v>
      </c>
      <c r="O4">
        <f t="shared" si="4"/>
        <v>42</v>
      </c>
      <c r="P4" t="str">
        <f t="shared" si="5"/>
        <v>Not Ready</v>
      </c>
      <c r="Q4" t="str">
        <f t="shared" si="6"/>
        <v>Medium</v>
      </c>
    </row>
    <row r="5" spans="1:17" x14ac:dyDescent="0.3">
      <c r="A5">
        <v>1004</v>
      </c>
      <c r="B5">
        <v>2</v>
      </c>
      <c r="C5">
        <v>6</v>
      </c>
      <c r="D5">
        <v>8</v>
      </c>
      <c r="E5">
        <v>4</v>
      </c>
      <c r="F5">
        <v>2</v>
      </c>
      <c r="G5">
        <v>2</v>
      </c>
      <c r="H5">
        <v>56</v>
      </c>
      <c r="I5">
        <v>3</v>
      </c>
      <c r="J5">
        <v>60</v>
      </c>
      <c r="K5">
        <f t="shared" si="0"/>
        <v>4.4000000000000004</v>
      </c>
      <c r="L5">
        <f t="shared" si="1"/>
        <v>44</v>
      </c>
      <c r="M5">
        <f t="shared" si="2"/>
        <v>40</v>
      </c>
      <c r="N5">
        <f t="shared" si="3"/>
        <v>40</v>
      </c>
      <c r="O5">
        <f t="shared" si="4"/>
        <v>42</v>
      </c>
      <c r="P5" t="str">
        <f t="shared" si="5"/>
        <v>Needs Improvement</v>
      </c>
      <c r="Q5" t="str">
        <f t="shared" si="6"/>
        <v>Medium</v>
      </c>
    </row>
    <row r="6" spans="1:17" x14ac:dyDescent="0.3">
      <c r="A6">
        <v>1005</v>
      </c>
      <c r="B6">
        <v>4</v>
      </c>
      <c r="C6">
        <v>1</v>
      </c>
      <c r="D6">
        <v>8</v>
      </c>
      <c r="E6">
        <v>2</v>
      </c>
      <c r="F6">
        <v>10</v>
      </c>
      <c r="G6">
        <v>2</v>
      </c>
      <c r="H6">
        <v>115</v>
      </c>
      <c r="I6">
        <v>2</v>
      </c>
      <c r="J6">
        <v>92</v>
      </c>
      <c r="K6">
        <f t="shared" si="0"/>
        <v>5</v>
      </c>
      <c r="L6">
        <f t="shared" si="1"/>
        <v>50</v>
      </c>
      <c r="M6">
        <f t="shared" si="2"/>
        <v>40</v>
      </c>
      <c r="N6">
        <f t="shared" si="3"/>
        <v>30</v>
      </c>
      <c r="O6">
        <f t="shared" si="4"/>
        <v>41</v>
      </c>
      <c r="P6" t="str">
        <f t="shared" si="5"/>
        <v>Placement Ready</v>
      </c>
      <c r="Q6" t="str">
        <f t="shared" si="6"/>
        <v>Medium</v>
      </c>
    </row>
    <row r="7" spans="1:17" x14ac:dyDescent="0.3">
      <c r="A7">
        <v>1006</v>
      </c>
      <c r="B7">
        <v>5</v>
      </c>
      <c r="C7">
        <v>7</v>
      </c>
      <c r="D7">
        <v>5</v>
      </c>
      <c r="E7">
        <v>1</v>
      </c>
      <c r="F7">
        <v>8</v>
      </c>
      <c r="G7">
        <v>1</v>
      </c>
      <c r="H7">
        <v>246</v>
      </c>
      <c r="I7">
        <v>4</v>
      </c>
      <c r="J7">
        <v>59</v>
      </c>
      <c r="K7">
        <f t="shared" si="0"/>
        <v>5.2</v>
      </c>
      <c r="L7">
        <f t="shared" si="1"/>
        <v>52</v>
      </c>
      <c r="M7">
        <f t="shared" si="2"/>
        <v>60</v>
      </c>
      <c r="N7">
        <f t="shared" si="3"/>
        <v>45</v>
      </c>
      <c r="O7">
        <f t="shared" si="4"/>
        <v>52</v>
      </c>
      <c r="P7" t="str">
        <f t="shared" si="5"/>
        <v>Needs Improvement</v>
      </c>
      <c r="Q7" t="str">
        <f t="shared" si="6"/>
        <v>Medium</v>
      </c>
    </row>
    <row r="8" spans="1:17" x14ac:dyDescent="0.3">
      <c r="A8">
        <v>1007</v>
      </c>
      <c r="B8">
        <v>7</v>
      </c>
      <c r="C8">
        <v>7</v>
      </c>
      <c r="D8">
        <v>6</v>
      </c>
      <c r="E8">
        <v>8</v>
      </c>
      <c r="F8">
        <v>4</v>
      </c>
      <c r="G8">
        <v>5</v>
      </c>
      <c r="H8">
        <v>224</v>
      </c>
      <c r="I8">
        <v>5</v>
      </c>
      <c r="J8">
        <v>68</v>
      </c>
      <c r="K8">
        <f t="shared" si="0"/>
        <v>6.4</v>
      </c>
      <c r="L8">
        <f t="shared" si="1"/>
        <v>64</v>
      </c>
      <c r="M8">
        <f t="shared" si="2"/>
        <v>60</v>
      </c>
      <c r="N8">
        <f t="shared" si="3"/>
        <v>75</v>
      </c>
      <c r="O8">
        <f t="shared" si="4"/>
        <v>66</v>
      </c>
      <c r="P8" t="str">
        <f t="shared" si="5"/>
        <v>Needs Improvement</v>
      </c>
      <c r="Q8" t="str">
        <f t="shared" si="6"/>
        <v>Medium</v>
      </c>
    </row>
    <row r="9" spans="1:17" x14ac:dyDescent="0.3">
      <c r="A9">
        <v>1008</v>
      </c>
      <c r="B9">
        <v>10</v>
      </c>
      <c r="C9">
        <v>6</v>
      </c>
      <c r="D9">
        <v>6</v>
      </c>
      <c r="E9">
        <v>9</v>
      </c>
      <c r="F9">
        <v>2</v>
      </c>
      <c r="G9">
        <v>5</v>
      </c>
      <c r="H9">
        <v>391</v>
      </c>
      <c r="I9">
        <v>5</v>
      </c>
      <c r="J9">
        <v>60</v>
      </c>
      <c r="K9">
        <f t="shared" si="0"/>
        <v>6.6</v>
      </c>
      <c r="L9">
        <f t="shared" si="1"/>
        <v>66</v>
      </c>
      <c r="M9">
        <f t="shared" si="2"/>
        <v>80</v>
      </c>
      <c r="N9">
        <f t="shared" si="3"/>
        <v>75</v>
      </c>
      <c r="O9">
        <f t="shared" si="4"/>
        <v>73</v>
      </c>
      <c r="P9" t="str">
        <f t="shared" si="5"/>
        <v>Needs Improvement</v>
      </c>
      <c r="Q9" t="str">
        <f t="shared" si="6"/>
        <v>High</v>
      </c>
    </row>
    <row r="10" spans="1:17" x14ac:dyDescent="0.3">
      <c r="A10">
        <v>1009</v>
      </c>
      <c r="B10">
        <v>3</v>
      </c>
      <c r="C10">
        <v>1</v>
      </c>
      <c r="D10">
        <v>8</v>
      </c>
      <c r="E10">
        <v>1</v>
      </c>
      <c r="F10">
        <v>4</v>
      </c>
      <c r="G10">
        <v>1</v>
      </c>
      <c r="H10">
        <v>364</v>
      </c>
      <c r="I10">
        <v>2</v>
      </c>
      <c r="J10">
        <v>67</v>
      </c>
      <c r="K10">
        <f t="shared" si="0"/>
        <v>3.4</v>
      </c>
      <c r="L10">
        <f t="shared" si="1"/>
        <v>34</v>
      </c>
      <c r="M10">
        <f t="shared" si="2"/>
        <v>80</v>
      </c>
      <c r="N10">
        <f t="shared" si="3"/>
        <v>25</v>
      </c>
      <c r="O10">
        <f t="shared" si="4"/>
        <v>45</v>
      </c>
      <c r="P10" t="str">
        <f t="shared" si="5"/>
        <v>Needs Improvement</v>
      </c>
      <c r="Q10" t="str">
        <f t="shared" si="6"/>
        <v>Medium</v>
      </c>
    </row>
    <row r="11" spans="1:17" x14ac:dyDescent="0.3">
      <c r="A11">
        <v>1010</v>
      </c>
      <c r="B11">
        <v>8</v>
      </c>
      <c r="C11">
        <v>7</v>
      </c>
      <c r="D11">
        <v>3</v>
      </c>
      <c r="E11">
        <v>8</v>
      </c>
      <c r="F11">
        <v>9</v>
      </c>
      <c r="G11">
        <v>7</v>
      </c>
      <c r="H11">
        <v>198</v>
      </c>
      <c r="I11">
        <v>5</v>
      </c>
      <c r="J11">
        <v>89</v>
      </c>
      <c r="K11">
        <f t="shared" si="0"/>
        <v>7</v>
      </c>
      <c r="L11">
        <f t="shared" si="1"/>
        <v>70</v>
      </c>
      <c r="M11">
        <f t="shared" si="2"/>
        <v>60</v>
      </c>
      <c r="N11">
        <f t="shared" si="3"/>
        <v>85</v>
      </c>
      <c r="O11">
        <f t="shared" si="4"/>
        <v>72</v>
      </c>
      <c r="P11" t="str">
        <f t="shared" si="5"/>
        <v>Placement Ready</v>
      </c>
      <c r="Q11" t="str">
        <f t="shared" si="6"/>
        <v>High</v>
      </c>
    </row>
    <row r="12" spans="1:17" x14ac:dyDescent="0.3">
      <c r="A12">
        <v>1011</v>
      </c>
      <c r="B12">
        <v>4</v>
      </c>
      <c r="C12">
        <v>6</v>
      </c>
      <c r="D12">
        <v>3</v>
      </c>
      <c r="E12">
        <v>10</v>
      </c>
      <c r="F12">
        <v>8</v>
      </c>
      <c r="G12">
        <v>3</v>
      </c>
      <c r="H12">
        <v>418</v>
      </c>
      <c r="I12">
        <v>2</v>
      </c>
      <c r="J12">
        <v>60</v>
      </c>
      <c r="K12">
        <f t="shared" si="0"/>
        <v>6.2</v>
      </c>
      <c r="L12">
        <f t="shared" si="1"/>
        <v>62</v>
      </c>
      <c r="M12">
        <f t="shared" si="2"/>
        <v>100</v>
      </c>
      <c r="N12">
        <f t="shared" si="3"/>
        <v>35</v>
      </c>
      <c r="O12">
        <f t="shared" si="4"/>
        <v>65</v>
      </c>
      <c r="P12" t="str">
        <f t="shared" si="5"/>
        <v>Needs Improvement</v>
      </c>
      <c r="Q12" t="str">
        <f t="shared" si="6"/>
        <v>Medium</v>
      </c>
    </row>
    <row r="13" spans="1:17" x14ac:dyDescent="0.3">
      <c r="A13">
        <v>1012</v>
      </c>
      <c r="B13">
        <v>2</v>
      </c>
      <c r="C13">
        <v>9</v>
      </c>
      <c r="D13">
        <v>5</v>
      </c>
      <c r="E13">
        <v>5</v>
      </c>
      <c r="F13">
        <v>8</v>
      </c>
      <c r="G13">
        <v>0</v>
      </c>
      <c r="H13">
        <v>476</v>
      </c>
      <c r="I13">
        <v>3</v>
      </c>
      <c r="J13">
        <v>63</v>
      </c>
      <c r="K13">
        <f t="shared" si="0"/>
        <v>5.8</v>
      </c>
      <c r="L13">
        <f t="shared" si="1"/>
        <v>58</v>
      </c>
      <c r="M13">
        <f t="shared" si="2"/>
        <v>100</v>
      </c>
      <c r="N13">
        <f t="shared" si="3"/>
        <v>30</v>
      </c>
      <c r="O13">
        <f t="shared" si="4"/>
        <v>62</v>
      </c>
      <c r="P13" t="str">
        <f t="shared" si="5"/>
        <v>Needs Improvement</v>
      </c>
      <c r="Q13" t="str">
        <f t="shared" si="6"/>
        <v>Medium</v>
      </c>
    </row>
    <row r="14" spans="1:17" x14ac:dyDescent="0.3">
      <c r="A14">
        <v>1013</v>
      </c>
      <c r="B14">
        <v>10</v>
      </c>
      <c r="C14">
        <v>1</v>
      </c>
      <c r="D14">
        <v>6</v>
      </c>
      <c r="E14">
        <v>8</v>
      </c>
      <c r="F14">
        <v>8</v>
      </c>
      <c r="G14">
        <v>6</v>
      </c>
      <c r="H14">
        <v>491</v>
      </c>
      <c r="I14">
        <v>2</v>
      </c>
      <c r="J14">
        <v>51</v>
      </c>
      <c r="K14">
        <f t="shared" si="0"/>
        <v>6.6</v>
      </c>
      <c r="L14">
        <f t="shared" si="1"/>
        <v>66</v>
      </c>
      <c r="M14">
        <f t="shared" si="2"/>
        <v>100</v>
      </c>
      <c r="N14">
        <f t="shared" si="3"/>
        <v>50</v>
      </c>
      <c r="O14">
        <f t="shared" si="4"/>
        <v>71</v>
      </c>
      <c r="P14" t="str">
        <f t="shared" si="5"/>
        <v>Needs Improvement</v>
      </c>
      <c r="Q14" t="str">
        <f t="shared" si="6"/>
        <v>High</v>
      </c>
    </row>
    <row r="15" spans="1:17" x14ac:dyDescent="0.3">
      <c r="A15">
        <v>1014</v>
      </c>
      <c r="B15">
        <v>3</v>
      </c>
      <c r="C15">
        <v>3</v>
      </c>
      <c r="D15">
        <v>8</v>
      </c>
      <c r="E15">
        <v>5</v>
      </c>
      <c r="F15">
        <v>1</v>
      </c>
      <c r="G15">
        <v>4</v>
      </c>
      <c r="H15">
        <v>387</v>
      </c>
      <c r="I15">
        <v>3</v>
      </c>
      <c r="J15">
        <v>67</v>
      </c>
      <c r="K15">
        <f t="shared" si="0"/>
        <v>4</v>
      </c>
      <c r="L15">
        <f t="shared" si="1"/>
        <v>40</v>
      </c>
      <c r="M15">
        <f t="shared" si="2"/>
        <v>80</v>
      </c>
      <c r="N15">
        <f t="shared" si="3"/>
        <v>50</v>
      </c>
      <c r="O15">
        <f t="shared" si="4"/>
        <v>55</v>
      </c>
      <c r="P15" t="str">
        <f t="shared" si="5"/>
        <v>Needs Improvement</v>
      </c>
      <c r="Q15" t="str">
        <f t="shared" si="6"/>
        <v>Medium</v>
      </c>
    </row>
    <row r="16" spans="1:17" x14ac:dyDescent="0.3">
      <c r="A16">
        <v>1015</v>
      </c>
      <c r="B16">
        <v>6</v>
      </c>
      <c r="C16">
        <v>5</v>
      </c>
      <c r="D16">
        <v>2</v>
      </c>
      <c r="E16">
        <v>4</v>
      </c>
      <c r="F16">
        <v>7</v>
      </c>
      <c r="G16">
        <v>1</v>
      </c>
      <c r="H16">
        <v>182</v>
      </c>
      <c r="I16">
        <v>3</v>
      </c>
      <c r="J16">
        <v>83</v>
      </c>
      <c r="K16">
        <f t="shared" si="0"/>
        <v>4.8</v>
      </c>
      <c r="L16">
        <f t="shared" si="1"/>
        <v>48</v>
      </c>
      <c r="M16">
        <f t="shared" si="2"/>
        <v>60</v>
      </c>
      <c r="N16">
        <f t="shared" si="3"/>
        <v>35</v>
      </c>
      <c r="O16">
        <f t="shared" si="4"/>
        <v>48</v>
      </c>
      <c r="P16" t="str">
        <f t="shared" si="5"/>
        <v>Placement Ready</v>
      </c>
      <c r="Q16" t="str">
        <f t="shared" si="6"/>
        <v>Medium</v>
      </c>
    </row>
    <row r="17" spans="1:17" x14ac:dyDescent="0.3">
      <c r="A17">
        <v>1016</v>
      </c>
      <c r="B17">
        <v>2</v>
      </c>
      <c r="C17">
        <v>5</v>
      </c>
      <c r="D17">
        <v>8</v>
      </c>
      <c r="E17">
        <v>1</v>
      </c>
      <c r="F17">
        <v>7</v>
      </c>
      <c r="G17">
        <v>4</v>
      </c>
      <c r="H17">
        <v>404</v>
      </c>
      <c r="I17">
        <v>3</v>
      </c>
      <c r="J17">
        <v>49</v>
      </c>
      <c r="K17">
        <f t="shared" si="0"/>
        <v>4.5999999999999996</v>
      </c>
      <c r="L17">
        <f t="shared" si="1"/>
        <v>46</v>
      </c>
      <c r="M17">
        <f t="shared" si="2"/>
        <v>100</v>
      </c>
      <c r="N17">
        <f t="shared" si="3"/>
        <v>50</v>
      </c>
      <c r="O17">
        <f t="shared" si="4"/>
        <v>63</v>
      </c>
      <c r="P17" t="str">
        <f t="shared" si="5"/>
        <v>Not Ready</v>
      </c>
      <c r="Q17" t="str">
        <f t="shared" si="6"/>
        <v>Medium</v>
      </c>
    </row>
    <row r="18" spans="1:17" x14ac:dyDescent="0.3">
      <c r="A18">
        <v>1017</v>
      </c>
      <c r="B18">
        <v>6</v>
      </c>
      <c r="C18">
        <v>10</v>
      </c>
      <c r="D18">
        <v>2</v>
      </c>
      <c r="E18">
        <v>7</v>
      </c>
      <c r="F18">
        <v>3</v>
      </c>
      <c r="G18">
        <v>5</v>
      </c>
      <c r="H18">
        <v>235</v>
      </c>
      <c r="I18">
        <v>0</v>
      </c>
      <c r="J18">
        <v>52</v>
      </c>
      <c r="K18">
        <f t="shared" si="0"/>
        <v>5.6</v>
      </c>
      <c r="L18">
        <f t="shared" si="1"/>
        <v>56</v>
      </c>
      <c r="M18">
        <f t="shared" si="2"/>
        <v>60</v>
      </c>
      <c r="N18">
        <f t="shared" si="3"/>
        <v>25</v>
      </c>
      <c r="O18">
        <f t="shared" si="4"/>
        <v>48</v>
      </c>
      <c r="P18" t="str">
        <f t="shared" si="5"/>
        <v>Needs Improvement</v>
      </c>
      <c r="Q18" t="str">
        <f t="shared" si="6"/>
        <v>Medium</v>
      </c>
    </row>
    <row r="19" spans="1:17" x14ac:dyDescent="0.3">
      <c r="A19">
        <v>1018</v>
      </c>
      <c r="B19">
        <v>7</v>
      </c>
      <c r="C19">
        <v>9</v>
      </c>
      <c r="D19">
        <v>4</v>
      </c>
      <c r="E19">
        <v>7</v>
      </c>
      <c r="F19">
        <v>1</v>
      </c>
      <c r="G19">
        <v>3</v>
      </c>
      <c r="H19">
        <v>410</v>
      </c>
      <c r="I19">
        <v>2</v>
      </c>
      <c r="J19">
        <v>63</v>
      </c>
      <c r="K19">
        <f t="shared" si="0"/>
        <v>5.6</v>
      </c>
      <c r="L19">
        <f t="shared" si="1"/>
        <v>56</v>
      </c>
      <c r="M19">
        <f t="shared" si="2"/>
        <v>100</v>
      </c>
      <c r="N19">
        <f t="shared" si="3"/>
        <v>35</v>
      </c>
      <c r="O19">
        <f t="shared" si="4"/>
        <v>63</v>
      </c>
      <c r="P19" t="str">
        <f t="shared" si="5"/>
        <v>Needs Improvement</v>
      </c>
      <c r="Q19" t="str">
        <f t="shared" si="6"/>
        <v>Medium</v>
      </c>
    </row>
    <row r="20" spans="1:17" x14ac:dyDescent="0.3">
      <c r="A20">
        <v>1019</v>
      </c>
      <c r="B20">
        <v>5</v>
      </c>
      <c r="C20">
        <v>6</v>
      </c>
      <c r="D20">
        <v>4</v>
      </c>
      <c r="E20">
        <v>5</v>
      </c>
      <c r="F20">
        <v>4</v>
      </c>
      <c r="G20">
        <v>8</v>
      </c>
      <c r="H20">
        <v>317</v>
      </c>
      <c r="I20">
        <v>5</v>
      </c>
      <c r="J20">
        <v>58</v>
      </c>
      <c r="K20">
        <f t="shared" si="0"/>
        <v>4.8</v>
      </c>
      <c r="L20">
        <f t="shared" si="1"/>
        <v>48</v>
      </c>
      <c r="M20">
        <f t="shared" si="2"/>
        <v>80</v>
      </c>
      <c r="N20">
        <f t="shared" si="3"/>
        <v>90</v>
      </c>
      <c r="O20">
        <f t="shared" si="4"/>
        <v>70</v>
      </c>
      <c r="P20" t="str">
        <f t="shared" si="5"/>
        <v>Needs Improvement</v>
      </c>
      <c r="Q20" t="str">
        <f t="shared" si="6"/>
        <v>Medium</v>
      </c>
    </row>
    <row r="21" spans="1:17" x14ac:dyDescent="0.3">
      <c r="A21">
        <v>1020</v>
      </c>
      <c r="B21">
        <v>1</v>
      </c>
      <c r="C21">
        <v>3</v>
      </c>
      <c r="D21">
        <v>6</v>
      </c>
      <c r="E21">
        <v>8</v>
      </c>
      <c r="F21">
        <v>3</v>
      </c>
      <c r="G21">
        <v>6</v>
      </c>
      <c r="H21">
        <v>389</v>
      </c>
      <c r="I21">
        <v>2</v>
      </c>
      <c r="J21">
        <v>90</v>
      </c>
      <c r="K21">
        <f t="shared" si="0"/>
        <v>4.2</v>
      </c>
      <c r="L21">
        <f t="shared" si="1"/>
        <v>42</v>
      </c>
      <c r="M21">
        <f t="shared" si="2"/>
        <v>80</v>
      </c>
      <c r="N21">
        <f t="shared" si="3"/>
        <v>50</v>
      </c>
      <c r="O21">
        <f t="shared" si="4"/>
        <v>56</v>
      </c>
      <c r="P21" t="str">
        <f t="shared" si="5"/>
        <v>Placement Ready</v>
      </c>
      <c r="Q21" t="str">
        <f t="shared" si="6"/>
        <v>Medium</v>
      </c>
    </row>
    <row r="22" spans="1:17" x14ac:dyDescent="0.3">
      <c r="A22">
        <v>1021</v>
      </c>
      <c r="B22">
        <v>1</v>
      </c>
      <c r="C22">
        <v>1</v>
      </c>
      <c r="D22">
        <v>7</v>
      </c>
      <c r="E22">
        <v>3</v>
      </c>
      <c r="F22">
        <v>8</v>
      </c>
      <c r="G22">
        <v>0</v>
      </c>
      <c r="H22">
        <v>426</v>
      </c>
      <c r="I22">
        <v>3</v>
      </c>
      <c r="J22">
        <v>71</v>
      </c>
      <c r="K22">
        <f t="shared" si="0"/>
        <v>4</v>
      </c>
      <c r="L22">
        <f t="shared" si="1"/>
        <v>40</v>
      </c>
      <c r="M22">
        <f t="shared" si="2"/>
        <v>100</v>
      </c>
      <c r="N22">
        <f t="shared" si="3"/>
        <v>30</v>
      </c>
      <c r="O22">
        <f t="shared" si="4"/>
        <v>55</v>
      </c>
      <c r="P22" t="str">
        <f t="shared" si="5"/>
        <v>Needs Improvement</v>
      </c>
      <c r="Q22" t="str">
        <f t="shared" si="6"/>
        <v>Medium</v>
      </c>
    </row>
    <row r="23" spans="1:17" x14ac:dyDescent="0.3">
      <c r="A23">
        <v>1022</v>
      </c>
      <c r="B23">
        <v>4</v>
      </c>
      <c r="C23">
        <v>5</v>
      </c>
      <c r="D23">
        <v>1</v>
      </c>
      <c r="E23">
        <v>5</v>
      </c>
      <c r="F23">
        <v>10</v>
      </c>
      <c r="G23">
        <v>1</v>
      </c>
      <c r="H23">
        <v>349</v>
      </c>
      <c r="I23">
        <v>1</v>
      </c>
      <c r="J23">
        <v>46</v>
      </c>
      <c r="K23">
        <f t="shared" si="0"/>
        <v>5</v>
      </c>
      <c r="L23">
        <f t="shared" si="1"/>
        <v>50</v>
      </c>
      <c r="M23">
        <f t="shared" si="2"/>
        <v>80</v>
      </c>
      <c r="N23">
        <f t="shared" si="3"/>
        <v>15</v>
      </c>
      <c r="O23">
        <f t="shared" si="4"/>
        <v>49</v>
      </c>
      <c r="P23" t="str">
        <f t="shared" si="5"/>
        <v>Not Ready</v>
      </c>
      <c r="Q23" t="str">
        <f t="shared" si="6"/>
        <v>Medium</v>
      </c>
    </row>
    <row r="24" spans="1:17" x14ac:dyDescent="0.3">
      <c r="A24">
        <v>1023</v>
      </c>
      <c r="B24">
        <v>8</v>
      </c>
      <c r="C24">
        <v>9</v>
      </c>
      <c r="D24">
        <v>10</v>
      </c>
      <c r="E24">
        <v>1</v>
      </c>
      <c r="F24">
        <v>9</v>
      </c>
      <c r="G24">
        <v>8</v>
      </c>
      <c r="H24">
        <v>293</v>
      </c>
      <c r="I24">
        <v>3</v>
      </c>
      <c r="J24">
        <v>84</v>
      </c>
      <c r="K24">
        <f t="shared" si="0"/>
        <v>7.4</v>
      </c>
      <c r="L24">
        <f t="shared" si="1"/>
        <v>74</v>
      </c>
      <c r="M24">
        <f t="shared" si="2"/>
        <v>80</v>
      </c>
      <c r="N24">
        <f t="shared" si="3"/>
        <v>70</v>
      </c>
      <c r="O24">
        <f t="shared" si="4"/>
        <v>75</v>
      </c>
      <c r="P24" t="str">
        <f t="shared" si="5"/>
        <v>Placement Ready</v>
      </c>
      <c r="Q24" t="str">
        <f t="shared" si="6"/>
        <v>High</v>
      </c>
    </row>
    <row r="25" spans="1:17" x14ac:dyDescent="0.3">
      <c r="A25">
        <v>1024</v>
      </c>
      <c r="B25">
        <v>9</v>
      </c>
      <c r="C25">
        <v>8</v>
      </c>
      <c r="D25">
        <v>4</v>
      </c>
      <c r="E25">
        <v>3</v>
      </c>
      <c r="F25">
        <v>9</v>
      </c>
      <c r="G25">
        <v>3</v>
      </c>
      <c r="H25">
        <v>159</v>
      </c>
      <c r="I25">
        <v>2</v>
      </c>
      <c r="J25">
        <v>84</v>
      </c>
      <c r="K25">
        <f t="shared" si="0"/>
        <v>6.6</v>
      </c>
      <c r="L25">
        <f t="shared" si="1"/>
        <v>66</v>
      </c>
      <c r="M25">
        <f t="shared" si="2"/>
        <v>60</v>
      </c>
      <c r="N25">
        <f t="shared" si="3"/>
        <v>35</v>
      </c>
      <c r="O25">
        <f t="shared" si="4"/>
        <v>55</v>
      </c>
      <c r="P25" t="str">
        <f t="shared" si="5"/>
        <v>Placement Ready</v>
      </c>
      <c r="Q25" t="str">
        <f t="shared" si="6"/>
        <v>Medium</v>
      </c>
    </row>
    <row r="26" spans="1:17" x14ac:dyDescent="0.3">
      <c r="A26">
        <v>1025</v>
      </c>
      <c r="B26">
        <v>3</v>
      </c>
      <c r="C26">
        <v>5</v>
      </c>
      <c r="D26">
        <v>7</v>
      </c>
      <c r="E26">
        <v>6</v>
      </c>
      <c r="F26">
        <v>10</v>
      </c>
      <c r="G26">
        <v>2</v>
      </c>
      <c r="H26">
        <v>443</v>
      </c>
      <c r="I26">
        <v>1</v>
      </c>
      <c r="J26">
        <v>85</v>
      </c>
      <c r="K26">
        <f t="shared" si="0"/>
        <v>6.2</v>
      </c>
      <c r="L26">
        <f t="shared" si="1"/>
        <v>62</v>
      </c>
      <c r="M26">
        <f t="shared" si="2"/>
        <v>100</v>
      </c>
      <c r="N26">
        <f t="shared" si="3"/>
        <v>20</v>
      </c>
      <c r="O26">
        <f t="shared" si="4"/>
        <v>61</v>
      </c>
      <c r="P26" t="str">
        <f t="shared" si="5"/>
        <v>Placement Ready</v>
      </c>
      <c r="Q26" t="str">
        <f t="shared" si="6"/>
        <v>Medium</v>
      </c>
    </row>
    <row r="27" spans="1:17" x14ac:dyDescent="0.3">
      <c r="A27">
        <v>1026</v>
      </c>
      <c r="B27">
        <v>1</v>
      </c>
      <c r="C27">
        <v>10</v>
      </c>
      <c r="D27">
        <v>1</v>
      </c>
      <c r="E27">
        <v>8</v>
      </c>
      <c r="F27">
        <v>5</v>
      </c>
      <c r="G27">
        <v>4</v>
      </c>
      <c r="H27">
        <v>339</v>
      </c>
      <c r="I27">
        <v>4</v>
      </c>
      <c r="J27">
        <v>63</v>
      </c>
      <c r="K27">
        <f t="shared" si="0"/>
        <v>5</v>
      </c>
      <c r="L27">
        <f t="shared" si="1"/>
        <v>50</v>
      </c>
      <c r="M27">
        <f t="shared" si="2"/>
        <v>80</v>
      </c>
      <c r="N27">
        <f t="shared" si="3"/>
        <v>60</v>
      </c>
      <c r="O27">
        <f t="shared" si="4"/>
        <v>62</v>
      </c>
      <c r="P27" t="str">
        <f t="shared" si="5"/>
        <v>Needs Improvement</v>
      </c>
      <c r="Q27" t="str">
        <f t="shared" si="6"/>
        <v>Medium</v>
      </c>
    </row>
    <row r="28" spans="1:17" x14ac:dyDescent="0.3">
      <c r="A28">
        <v>1027</v>
      </c>
      <c r="B28">
        <v>8</v>
      </c>
      <c r="C28">
        <v>4</v>
      </c>
      <c r="D28">
        <v>4</v>
      </c>
      <c r="E28">
        <v>5</v>
      </c>
      <c r="F28">
        <v>5</v>
      </c>
      <c r="G28">
        <v>2</v>
      </c>
      <c r="H28">
        <v>412</v>
      </c>
      <c r="I28">
        <v>1</v>
      </c>
      <c r="J28">
        <v>77</v>
      </c>
      <c r="K28">
        <f t="shared" si="0"/>
        <v>5.2</v>
      </c>
      <c r="L28">
        <f t="shared" si="1"/>
        <v>52</v>
      </c>
      <c r="M28">
        <f t="shared" si="2"/>
        <v>100</v>
      </c>
      <c r="N28">
        <f t="shared" si="3"/>
        <v>20</v>
      </c>
      <c r="O28">
        <f t="shared" si="4"/>
        <v>57</v>
      </c>
      <c r="P28" t="str">
        <f t="shared" si="5"/>
        <v>Placement Ready</v>
      </c>
      <c r="Q28" t="str">
        <f t="shared" si="6"/>
        <v>Medium</v>
      </c>
    </row>
    <row r="29" spans="1:17" x14ac:dyDescent="0.3">
      <c r="A29">
        <v>1028</v>
      </c>
      <c r="B29">
        <v>10</v>
      </c>
      <c r="C29">
        <v>9</v>
      </c>
      <c r="D29">
        <v>1</v>
      </c>
      <c r="E29">
        <v>1</v>
      </c>
      <c r="F29">
        <v>6</v>
      </c>
      <c r="G29">
        <v>8</v>
      </c>
      <c r="H29">
        <v>329</v>
      </c>
      <c r="I29">
        <v>3</v>
      </c>
      <c r="J29">
        <v>63</v>
      </c>
      <c r="K29">
        <f t="shared" si="0"/>
        <v>5.4</v>
      </c>
      <c r="L29">
        <f t="shared" si="1"/>
        <v>54</v>
      </c>
      <c r="M29">
        <f t="shared" si="2"/>
        <v>80</v>
      </c>
      <c r="N29">
        <f t="shared" si="3"/>
        <v>70</v>
      </c>
      <c r="O29">
        <f t="shared" si="4"/>
        <v>67</v>
      </c>
      <c r="P29" t="str">
        <f t="shared" si="5"/>
        <v>Needs Improvement</v>
      </c>
      <c r="Q29" t="str">
        <f t="shared" si="6"/>
        <v>Medium</v>
      </c>
    </row>
    <row r="30" spans="1:17" x14ac:dyDescent="0.3">
      <c r="A30">
        <v>1029</v>
      </c>
      <c r="B30">
        <v>10</v>
      </c>
      <c r="C30">
        <v>4</v>
      </c>
      <c r="D30">
        <v>10</v>
      </c>
      <c r="E30">
        <v>1</v>
      </c>
      <c r="F30">
        <v>1</v>
      </c>
      <c r="G30">
        <v>8</v>
      </c>
      <c r="H30">
        <v>334</v>
      </c>
      <c r="I30">
        <v>4</v>
      </c>
      <c r="J30">
        <v>94</v>
      </c>
      <c r="K30">
        <f t="shared" si="0"/>
        <v>5.2</v>
      </c>
      <c r="L30">
        <f t="shared" si="1"/>
        <v>52</v>
      </c>
      <c r="M30">
        <f t="shared" si="2"/>
        <v>80</v>
      </c>
      <c r="N30">
        <f t="shared" si="3"/>
        <v>80</v>
      </c>
      <c r="O30">
        <f t="shared" si="4"/>
        <v>69</v>
      </c>
      <c r="P30" t="str">
        <f t="shared" si="5"/>
        <v>Placement Ready</v>
      </c>
      <c r="Q30" t="str">
        <f t="shared" si="6"/>
        <v>Medium</v>
      </c>
    </row>
    <row r="31" spans="1:17" x14ac:dyDescent="0.3">
      <c r="A31">
        <v>1030</v>
      </c>
      <c r="B31">
        <v>4</v>
      </c>
      <c r="C31">
        <v>7</v>
      </c>
      <c r="D31">
        <v>7</v>
      </c>
      <c r="E31">
        <v>6</v>
      </c>
      <c r="F31">
        <v>9</v>
      </c>
      <c r="G31">
        <v>3</v>
      </c>
      <c r="H31">
        <v>356</v>
      </c>
      <c r="I31">
        <v>2</v>
      </c>
      <c r="J31">
        <v>44</v>
      </c>
      <c r="K31">
        <f t="shared" si="0"/>
        <v>6.6</v>
      </c>
      <c r="L31">
        <f t="shared" si="1"/>
        <v>66</v>
      </c>
      <c r="M31">
        <f t="shared" si="2"/>
        <v>80</v>
      </c>
      <c r="N31">
        <f t="shared" si="3"/>
        <v>35</v>
      </c>
      <c r="O31">
        <f t="shared" si="4"/>
        <v>61</v>
      </c>
      <c r="P31" t="str">
        <f t="shared" si="5"/>
        <v>Not Ready</v>
      </c>
      <c r="Q31" t="str">
        <f t="shared" si="6"/>
        <v>Medium</v>
      </c>
    </row>
    <row r="32" spans="1:17" x14ac:dyDescent="0.3">
      <c r="A32">
        <v>1031</v>
      </c>
      <c r="B32">
        <v>7</v>
      </c>
      <c r="C32">
        <v>3</v>
      </c>
      <c r="D32">
        <v>10</v>
      </c>
      <c r="E32">
        <v>8</v>
      </c>
      <c r="F32">
        <v>9</v>
      </c>
      <c r="G32">
        <v>6</v>
      </c>
      <c r="H32">
        <v>51</v>
      </c>
      <c r="I32">
        <v>5</v>
      </c>
      <c r="J32">
        <v>51</v>
      </c>
      <c r="K32">
        <f t="shared" si="0"/>
        <v>7.4</v>
      </c>
      <c r="L32">
        <f t="shared" si="1"/>
        <v>74</v>
      </c>
      <c r="M32">
        <f t="shared" si="2"/>
        <v>40</v>
      </c>
      <c r="N32">
        <f t="shared" si="3"/>
        <v>80</v>
      </c>
      <c r="O32">
        <f t="shared" si="4"/>
        <v>66</v>
      </c>
      <c r="P32" t="str">
        <f t="shared" si="5"/>
        <v>Needs Improvement</v>
      </c>
      <c r="Q32" t="str">
        <f t="shared" si="6"/>
        <v>Medium</v>
      </c>
    </row>
    <row r="33" spans="1:17" x14ac:dyDescent="0.3">
      <c r="A33">
        <v>1032</v>
      </c>
      <c r="B33">
        <v>10</v>
      </c>
      <c r="C33">
        <v>7</v>
      </c>
      <c r="D33">
        <v>4</v>
      </c>
      <c r="E33">
        <v>6</v>
      </c>
      <c r="F33">
        <v>3</v>
      </c>
      <c r="G33">
        <v>2</v>
      </c>
      <c r="H33">
        <v>403</v>
      </c>
      <c r="I33">
        <v>1</v>
      </c>
      <c r="J33">
        <v>79</v>
      </c>
      <c r="K33">
        <f t="shared" si="0"/>
        <v>6</v>
      </c>
      <c r="L33">
        <f t="shared" si="1"/>
        <v>60</v>
      </c>
      <c r="M33">
        <f t="shared" si="2"/>
        <v>100</v>
      </c>
      <c r="N33">
        <f t="shared" si="3"/>
        <v>20</v>
      </c>
      <c r="O33">
        <f t="shared" si="4"/>
        <v>60</v>
      </c>
      <c r="P33" t="str">
        <f t="shared" si="5"/>
        <v>Placement Ready</v>
      </c>
      <c r="Q33" t="str">
        <f t="shared" si="6"/>
        <v>Medium</v>
      </c>
    </row>
    <row r="34" spans="1:17" x14ac:dyDescent="0.3">
      <c r="A34">
        <v>1033</v>
      </c>
      <c r="B34">
        <v>10</v>
      </c>
      <c r="C34">
        <v>5</v>
      </c>
      <c r="D34">
        <v>4</v>
      </c>
      <c r="E34">
        <v>9</v>
      </c>
      <c r="F34">
        <v>9</v>
      </c>
      <c r="G34">
        <v>0</v>
      </c>
      <c r="H34">
        <v>114</v>
      </c>
      <c r="I34">
        <v>1</v>
      </c>
      <c r="J34">
        <v>47</v>
      </c>
      <c r="K34">
        <f t="shared" si="0"/>
        <v>7.4</v>
      </c>
      <c r="L34">
        <f t="shared" si="1"/>
        <v>74</v>
      </c>
      <c r="M34">
        <f t="shared" si="2"/>
        <v>40</v>
      </c>
      <c r="N34">
        <f t="shared" si="3"/>
        <v>10</v>
      </c>
      <c r="O34">
        <f t="shared" si="4"/>
        <v>45</v>
      </c>
      <c r="P34" t="str">
        <f t="shared" si="5"/>
        <v>Not Ready</v>
      </c>
      <c r="Q34" t="str">
        <f t="shared" si="6"/>
        <v>Medium</v>
      </c>
    </row>
    <row r="35" spans="1:17" x14ac:dyDescent="0.3">
      <c r="A35">
        <v>1034</v>
      </c>
      <c r="B35">
        <v>9</v>
      </c>
      <c r="C35">
        <v>7</v>
      </c>
      <c r="D35">
        <v>3</v>
      </c>
      <c r="E35">
        <v>7</v>
      </c>
      <c r="F35">
        <v>5</v>
      </c>
      <c r="G35">
        <v>5</v>
      </c>
      <c r="H35">
        <v>71</v>
      </c>
      <c r="I35">
        <v>4</v>
      </c>
      <c r="J35">
        <v>41</v>
      </c>
      <c r="K35">
        <f t="shared" si="0"/>
        <v>6.2</v>
      </c>
      <c r="L35">
        <f t="shared" si="1"/>
        <v>62</v>
      </c>
      <c r="M35">
        <f t="shared" si="2"/>
        <v>40</v>
      </c>
      <c r="N35">
        <f t="shared" si="3"/>
        <v>65</v>
      </c>
      <c r="O35">
        <f t="shared" si="4"/>
        <v>56</v>
      </c>
      <c r="P35" t="str">
        <f t="shared" si="5"/>
        <v>Not Ready</v>
      </c>
      <c r="Q35" t="str">
        <f t="shared" si="6"/>
        <v>Medium</v>
      </c>
    </row>
    <row r="36" spans="1:17" x14ac:dyDescent="0.3">
      <c r="A36">
        <v>1035</v>
      </c>
      <c r="B36">
        <v>4</v>
      </c>
      <c r="C36">
        <v>1</v>
      </c>
      <c r="D36">
        <v>4</v>
      </c>
      <c r="E36">
        <v>1</v>
      </c>
      <c r="F36">
        <v>2</v>
      </c>
      <c r="G36">
        <v>0</v>
      </c>
      <c r="H36">
        <v>150</v>
      </c>
      <c r="I36">
        <v>0</v>
      </c>
      <c r="J36">
        <v>84</v>
      </c>
      <c r="K36">
        <f t="shared" si="0"/>
        <v>2.4</v>
      </c>
      <c r="L36">
        <f t="shared" si="1"/>
        <v>24</v>
      </c>
      <c r="M36">
        <f t="shared" si="2"/>
        <v>60</v>
      </c>
      <c r="N36">
        <f t="shared" si="3"/>
        <v>0</v>
      </c>
      <c r="O36">
        <f t="shared" si="4"/>
        <v>28</v>
      </c>
      <c r="P36" t="str">
        <f t="shared" si="5"/>
        <v>Placement Ready</v>
      </c>
      <c r="Q36" t="str">
        <f t="shared" si="6"/>
        <v>Low</v>
      </c>
    </row>
    <row r="37" spans="1:17" x14ac:dyDescent="0.3">
      <c r="A37">
        <v>1036</v>
      </c>
      <c r="B37">
        <v>2</v>
      </c>
      <c r="C37">
        <v>6</v>
      </c>
      <c r="D37">
        <v>6</v>
      </c>
      <c r="E37">
        <v>3</v>
      </c>
      <c r="F37">
        <v>7</v>
      </c>
      <c r="G37">
        <v>4</v>
      </c>
      <c r="H37">
        <v>486</v>
      </c>
      <c r="I37">
        <v>0</v>
      </c>
      <c r="J37">
        <v>86</v>
      </c>
      <c r="K37">
        <f t="shared" si="0"/>
        <v>4.8</v>
      </c>
      <c r="L37">
        <f t="shared" si="1"/>
        <v>48</v>
      </c>
      <c r="M37">
        <f t="shared" si="2"/>
        <v>100</v>
      </c>
      <c r="N37">
        <f t="shared" si="3"/>
        <v>20</v>
      </c>
      <c r="O37">
        <f t="shared" si="4"/>
        <v>55</v>
      </c>
      <c r="P37" t="str">
        <f t="shared" si="5"/>
        <v>Placement Ready</v>
      </c>
      <c r="Q37" t="str">
        <f t="shared" si="6"/>
        <v>Medium</v>
      </c>
    </row>
    <row r="38" spans="1:17" x14ac:dyDescent="0.3">
      <c r="A38">
        <v>1037</v>
      </c>
      <c r="B38">
        <v>3</v>
      </c>
      <c r="C38">
        <v>1</v>
      </c>
      <c r="D38">
        <v>8</v>
      </c>
      <c r="E38">
        <v>2</v>
      </c>
      <c r="F38">
        <v>10</v>
      </c>
      <c r="G38">
        <v>5</v>
      </c>
      <c r="H38">
        <v>341</v>
      </c>
      <c r="I38">
        <v>1</v>
      </c>
      <c r="J38">
        <v>41</v>
      </c>
      <c r="K38">
        <f t="shared" si="0"/>
        <v>4.8</v>
      </c>
      <c r="L38">
        <f t="shared" si="1"/>
        <v>48</v>
      </c>
      <c r="M38">
        <f t="shared" si="2"/>
        <v>80</v>
      </c>
      <c r="N38">
        <f t="shared" si="3"/>
        <v>35</v>
      </c>
      <c r="O38">
        <f t="shared" si="4"/>
        <v>54</v>
      </c>
      <c r="P38" t="str">
        <f t="shared" si="5"/>
        <v>Not Ready</v>
      </c>
      <c r="Q38" t="str">
        <f t="shared" si="6"/>
        <v>Medium</v>
      </c>
    </row>
    <row r="39" spans="1:17" x14ac:dyDescent="0.3">
      <c r="A39">
        <v>1038</v>
      </c>
      <c r="B39">
        <v>5</v>
      </c>
      <c r="C39">
        <v>2</v>
      </c>
      <c r="D39">
        <v>8</v>
      </c>
      <c r="E39">
        <v>10</v>
      </c>
      <c r="F39">
        <v>9</v>
      </c>
      <c r="G39">
        <v>6</v>
      </c>
      <c r="H39">
        <v>305</v>
      </c>
      <c r="I39">
        <v>0</v>
      </c>
      <c r="J39">
        <v>57</v>
      </c>
      <c r="K39">
        <f t="shared" si="0"/>
        <v>6.8</v>
      </c>
      <c r="L39">
        <f t="shared" si="1"/>
        <v>68</v>
      </c>
      <c r="M39">
        <f t="shared" si="2"/>
        <v>80</v>
      </c>
      <c r="N39">
        <f t="shared" si="3"/>
        <v>30</v>
      </c>
      <c r="O39">
        <f t="shared" si="4"/>
        <v>60</v>
      </c>
      <c r="P39" t="str">
        <f t="shared" si="5"/>
        <v>Needs Improvement</v>
      </c>
      <c r="Q39" t="str">
        <f t="shared" si="6"/>
        <v>Medium</v>
      </c>
    </row>
    <row r="40" spans="1:17" x14ac:dyDescent="0.3">
      <c r="A40">
        <v>1039</v>
      </c>
      <c r="B40">
        <v>3</v>
      </c>
      <c r="C40">
        <v>1</v>
      </c>
      <c r="D40">
        <v>2</v>
      </c>
      <c r="E40">
        <v>3</v>
      </c>
      <c r="F40">
        <v>6</v>
      </c>
      <c r="G40">
        <v>1</v>
      </c>
      <c r="H40">
        <v>491</v>
      </c>
      <c r="I40">
        <v>5</v>
      </c>
      <c r="J40">
        <v>62</v>
      </c>
      <c r="K40">
        <f t="shared" si="0"/>
        <v>3</v>
      </c>
      <c r="L40">
        <f t="shared" si="1"/>
        <v>30</v>
      </c>
      <c r="M40">
        <f t="shared" si="2"/>
        <v>100</v>
      </c>
      <c r="N40">
        <f t="shared" si="3"/>
        <v>55</v>
      </c>
      <c r="O40">
        <f t="shared" si="4"/>
        <v>59</v>
      </c>
      <c r="P40" t="str">
        <f t="shared" si="5"/>
        <v>Needs Improvement</v>
      </c>
      <c r="Q40" t="str">
        <f t="shared" si="6"/>
        <v>Medium</v>
      </c>
    </row>
    <row r="41" spans="1:17" x14ac:dyDescent="0.3">
      <c r="A41">
        <v>1040</v>
      </c>
      <c r="B41">
        <v>5</v>
      </c>
      <c r="C41">
        <v>6</v>
      </c>
      <c r="D41">
        <v>2</v>
      </c>
      <c r="E41">
        <v>8</v>
      </c>
      <c r="F41">
        <v>1</v>
      </c>
      <c r="G41">
        <v>7</v>
      </c>
      <c r="H41">
        <v>395</v>
      </c>
      <c r="I41">
        <v>2</v>
      </c>
      <c r="J41">
        <v>85</v>
      </c>
      <c r="K41">
        <f t="shared" si="0"/>
        <v>4.4000000000000004</v>
      </c>
      <c r="L41">
        <f t="shared" si="1"/>
        <v>44</v>
      </c>
      <c r="M41">
        <f t="shared" si="2"/>
        <v>80</v>
      </c>
      <c r="N41">
        <f t="shared" si="3"/>
        <v>55</v>
      </c>
      <c r="O41">
        <f t="shared" si="4"/>
        <v>58</v>
      </c>
      <c r="P41" t="str">
        <f t="shared" si="5"/>
        <v>Placement Ready</v>
      </c>
      <c r="Q41" t="str">
        <f t="shared" si="6"/>
        <v>Medium</v>
      </c>
    </row>
    <row r="42" spans="1:17" x14ac:dyDescent="0.3">
      <c r="A42">
        <v>1041</v>
      </c>
      <c r="B42">
        <v>8</v>
      </c>
      <c r="C42">
        <v>5</v>
      </c>
      <c r="D42">
        <v>5</v>
      </c>
      <c r="E42">
        <v>9</v>
      </c>
      <c r="F42">
        <v>7</v>
      </c>
      <c r="G42">
        <v>5</v>
      </c>
      <c r="H42">
        <v>62</v>
      </c>
      <c r="I42">
        <v>3</v>
      </c>
      <c r="J42">
        <v>43</v>
      </c>
      <c r="K42">
        <f t="shared" si="0"/>
        <v>6.8</v>
      </c>
      <c r="L42">
        <f t="shared" si="1"/>
        <v>68</v>
      </c>
      <c r="M42">
        <f t="shared" si="2"/>
        <v>40</v>
      </c>
      <c r="N42">
        <f t="shared" si="3"/>
        <v>55</v>
      </c>
      <c r="O42">
        <f t="shared" si="4"/>
        <v>56</v>
      </c>
      <c r="P42" t="str">
        <f t="shared" si="5"/>
        <v>Not Ready</v>
      </c>
      <c r="Q42" t="str">
        <f t="shared" si="6"/>
        <v>Medium</v>
      </c>
    </row>
    <row r="43" spans="1:17" x14ac:dyDescent="0.3">
      <c r="A43">
        <v>1042</v>
      </c>
      <c r="B43">
        <v>3</v>
      </c>
      <c r="C43">
        <v>4</v>
      </c>
      <c r="D43">
        <v>8</v>
      </c>
      <c r="E43">
        <v>4</v>
      </c>
      <c r="F43">
        <v>5</v>
      </c>
      <c r="G43">
        <v>3</v>
      </c>
      <c r="H43">
        <v>125</v>
      </c>
      <c r="I43">
        <v>5</v>
      </c>
      <c r="J43">
        <v>59</v>
      </c>
      <c r="K43">
        <f t="shared" si="0"/>
        <v>4.8</v>
      </c>
      <c r="L43">
        <f t="shared" si="1"/>
        <v>48</v>
      </c>
      <c r="M43">
        <f t="shared" si="2"/>
        <v>40</v>
      </c>
      <c r="N43">
        <f t="shared" si="3"/>
        <v>65</v>
      </c>
      <c r="O43">
        <f t="shared" si="4"/>
        <v>51</v>
      </c>
      <c r="P43" t="str">
        <f t="shared" si="5"/>
        <v>Needs Improvement</v>
      </c>
      <c r="Q43" t="str">
        <f t="shared" si="6"/>
        <v>Medium</v>
      </c>
    </row>
    <row r="44" spans="1:17" x14ac:dyDescent="0.3">
      <c r="A44">
        <v>1043</v>
      </c>
      <c r="B44">
        <v>6</v>
      </c>
      <c r="C44">
        <v>2</v>
      </c>
      <c r="D44">
        <v>1</v>
      </c>
      <c r="E44">
        <v>8</v>
      </c>
      <c r="F44">
        <v>4</v>
      </c>
      <c r="G44">
        <v>3</v>
      </c>
      <c r="H44">
        <v>57</v>
      </c>
      <c r="I44">
        <v>3</v>
      </c>
      <c r="J44">
        <v>85</v>
      </c>
      <c r="K44">
        <f t="shared" si="0"/>
        <v>4.2</v>
      </c>
      <c r="L44">
        <f t="shared" si="1"/>
        <v>42</v>
      </c>
      <c r="M44">
        <f t="shared" si="2"/>
        <v>40</v>
      </c>
      <c r="N44">
        <f t="shared" si="3"/>
        <v>45</v>
      </c>
      <c r="O44">
        <f t="shared" si="4"/>
        <v>42</v>
      </c>
      <c r="P44" t="str">
        <f t="shared" si="5"/>
        <v>Placement Ready</v>
      </c>
      <c r="Q44" t="str">
        <f t="shared" si="6"/>
        <v>Medium</v>
      </c>
    </row>
    <row r="45" spans="1:17" x14ac:dyDescent="0.3">
      <c r="A45">
        <v>1044</v>
      </c>
      <c r="B45">
        <v>3</v>
      </c>
      <c r="C45">
        <v>10</v>
      </c>
      <c r="D45">
        <v>6</v>
      </c>
      <c r="E45">
        <v>6</v>
      </c>
      <c r="F45">
        <v>9</v>
      </c>
      <c r="G45">
        <v>5</v>
      </c>
      <c r="H45">
        <v>458</v>
      </c>
      <c r="I45">
        <v>1</v>
      </c>
      <c r="J45">
        <v>74</v>
      </c>
      <c r="K45">
        <f t="shared" si="0"/>
        <v>6.8</v>
      </c>
      <c r="L45">
        <f t="shared" si="1"/>
        <v>68</v>
      </c>
      <c r="M45">
        <f t="shared" si="2"/>
        <v>100</v>
      </c>
      <c r="N45">
        <f t="shared" si="3"/>
        <v>35</v>
      </c>
      <c r="O45">
        <f t="shared" si="4"/>
        <v>68</v>
      </c>
      <c r="P45" t="str">
        <f t="shared" si="5"/>
        <v>Needs Improvement</v>
      </c>
      <c r="Q45" t="str">
        <f t="shared" si="6"/>
        <v>Medium</v>
      </c>
    </row>
    <row r="46" spans="1:17" x14ac:dyDescent="0.3">
      <c r="A46">
        <v>1045</v>
      </c>
      <c r="B46">
        <v>4</v>
      </c>
      <c r="C46">
        <v>7</v>
      </c>
      <c r="D46">
        <v>10</v>
      </c>
      <c r="E46">
        <v>10</v>
      </c>
      <c r="F46">
        <v>7</v>
      </c>
      <c r="G46">
        <v>1</v>
      </c>
      <c r="H46">
        <v>90</v>
      </c>
      <c r="I46">
        <v>0</v>
      </c>
      <c r="J46">
        <v>46</v>
      </c>
      <c r="K46">
        <f t="shared" si="0"/>
        <v>7.6</v>
      </c>
      <c r="L46">
        <f t="shared" si="1"/>
        <v>76</v>
      </c>
      <c r="M46">
        <f t="shared" si="2"/>
        <v>40</v>
      </c>
      <c r="N46">
        <f t="shared" si="3"/>
        <v>5</v>
      </c>
      <c r="O46">
        <f t="shared" si="4"/>
        <v>44</v>
      </c>
      <c r="P46" t="str">
        <f t="shared" si="5"/>
        <v>Not Ready</v>
      </c>
      <c r="Q46" t="str">
        <f t="shared" si="6"/>
        <v>Medium</v>
      </c>
    </row>
    <row r="47" spans="1:17" x14ac:dyDescent="0.3">
      <c r="A47">
        <v>1046</v>
      </c>
      <c r="B47">
        <v>8</v>
      </c>
      <c r="C47">
        <v>5</v>
      </c>
      <c r="D47">
        <v>5</v>
      </c>
      <c r="E47">
        <v>10</v>
      </c>
      <c r="F47">
        <v>2</v>
      </c>
      <c r="G47">
        <v>4</v>
      </c>
      <c r="H47">
        <v>446</v>
      </c>
      <c r="I47">
        <v>1</v>
      </c>
      <c r="J47">
        <v>86</v>
      </c>
      <c r="K47">
        <f t="shared" si="0"/>
        <v>6</v>
      </c>
      <c r="L47">
        <f t="shared" si="1"/>
        <v>60</v>
      </c>
      <c r="M47">
        <f t="shared" si="2"/>
        <v>100</v>
      </c>
      <c r="N47">
        <f t="shared" si="3"/>
        <v>30</v>
      </c>
      <c r="O47">
        <f t="shared" si="4"/>
        <v>63</v>
      </c>
      <c r="P47" t="str">
        <f t="shared" si="5"/>
        <v>Placement Ready</v>
      </c>
      <c r="Q47" t="str">
        <f t="shared" si="6"/>
        <v>Medium</v>
      </c>
    </row>
    <row r="48" spans="1:17" x14ac:dyDescent="0.3">
      <c r="A48">
        <v>1047</v>
      </c>
      <c r="B48">
        <v>9</v>
      </c>
      <c r="C48">
        <v>10</v>
      </c>
      <c r="D48">
        <v>4</v>
      </c>
      <c r="E48">
        <v>6</v>
      </c>
      <c r="F48">
        <v>8</v>
      </c>
      <c r="G48">
        <v>7</v>
      </c>
      <c r="H48">
        <v>368</v>
      </c>
      <c r="I48">
        <v>4</v>
      </c>
      <c r="J48">
        <v>50</v>
      </c>
      <c r="K48">
        <f t="shared" si="0"/>
        <v>7.4</v>
      </c>
      <c r="L48">
        <f t="shared" si="1"/>
        <v>74</v>
      </c>
      <c r="M48">
        <f t="shared" si="2"/>
        <v>80</v>
      </c>
      <c r="N48">
        <f t="shared" si="3"/>
        <v>75</v>
      </c>
      <c r="O48">
        <f t="shared" si="4"/>
        <v>76</v>
      </c>
      <c r="P48" t="str">
        <f t="shared" si="5"/>
        <v>Needs Improvement</v>
      </c>
      <c r="Q48" t="str">
        <f t="shared" si="6"/>
        <v>High</v>
      </c>
    </row>
    <row r="49" spans="1:17" x14ac:dyDescent="0.3">
      <c r="A49">
        <v>1048</v>
      </c>
      <c r="B49">
        <v>1</v>
      </c>
      <c r="C49">
        <v>7</v>
      </c>
      <c r="D49">
        <v>5</v>
      </c>
      <c r="E49">
        <v>7</v>
      </c>
      <c r="F49">
        <v>2</v>
      </c>
      <c r="G49">
        <v>8</v>
      </c>
      <c r="H49">
        <v>240</v>
      </c>
      <c r="I49">
        <v>4</v>
      </c>
      <c r="J49">
        <v>70</v>
      </c>
      <c r="K49">
        <f t="shared" si="0"/>
        <v>4.4000000000000004</v>
      </c>
      <c r="L49">
        <f t="shared" si="1"/>
        <v>44</v>
      </c>
      <c r="M49">
        <f t="shared" si="2"/>
        <v>60</v>
      </c>
      <c r="N49">
        <f t="shared" si="3"/>
        <v>80</v>
      </c>
      <c r="O49">
        <f t="shared" si="4"/>
        <v>60</v>
      </c>
      <c r="P49" t="str">
        <f t="shared" si="5"/>
        <v>Needs Improvement</v>
      </c>
      <c r="Q49" t="str">
        <f t="shared" si="6"/>
        <v>Medium</v>
      </c>
    </row>
    <row r="50" spans="1:17" x14ac:dyDescent="0.3">
      <c r="A50">
        <v>1049</v>
      </c>
      <c r="B50">
        <v>3</v>
      </c>
      <c r="C50">
        <v>3</v>
      </c>
      <c r="D50">
        <v>3</v>
      </c>
      <c r="E50">
        <v>2</v>
      </c>
      <c r="F50">
        <v>9</v>
      </c>
      <c r="G50">
        <v>1</v>
      </c>
      <c r="H50">
        <v>118</v>
      </c>
      <c r="I50">
        <v>2</v>
      </c>
      <c r="J50">
        <v>48</v>
      </c>
      <c r="K50">
        <f t="shared" si="0"/>
        <v>4</v>
      </c>
      <c r="L50">
        <f t="shared" si="1"/>
        <v>40</v>
      </c>
      <c r="M50">
        <f t="shared" si="2"/>
        <v>40</v>
      </c>
      <c r="N50">
        <f t="shared" si="3"/>
        <v>25</v>
      </c>
      <c r="O50">
        <f t="shared" si="4"/>
        <v>36</v>
      </c>
      <c r="P50" t="str">
        <f t="shared" si="5"/>
        <v>Not Ready</v>
      </c>
      <c r="Q50" t="str">
        <f t="shared" si="6"/>
        <v>Low</v>
      </c>
    </row>
    <row r="51" spans="1:17" x14ac:dyDescent="0.3">
      <c r="A51">
        <v>1050</v>
      </c>
      <c r="B51">
        <v>9</v>
      </c>
      <c r="C51">
        <v>9</v>
      </c>
      <c r="D51">
        <v>1</v>
      </c>
      <c r="E51">
        <v>4</v>
      </c>
      <c r="F51">
        <v>8</v>
      </c>
      <c r="G51">
        <v>5</v>
      </c>
      <c r="H51">
        <v>227</v>
      </c>
      <c r="I51">
        <v>0</v>
      </c>
      <c r="J51">
        <v>41</v>
      </c>
      <c r="K51">
        <f t="shared" si="0"/>
        <v>6.2</v>
      </c>
      <c r="L51">
        <f t="shared" si="1"/>
        <v>62</v>
      </c>
      <c r="M51">
        <f t="shared" si="2"/>
        <v>60</v>
      </c>
      <c r="N51">
        <f t="shared" si="3"/>
        <v>25</v>
      </c>
      <c r="O51">
        <f t="shared" si="4"/>
        <v>50</v>
      </c>
      <c r="P51" t="str">
        <f t="shared" si="5"/>
        <v>Not Ready</v>
      </c>
      <c r="Q51" t="str">
        <f t="shared" si="6"/>
        <v>Medium</v>
      </c>
    </row>
    <row r="52" spans="1:17" x14ac:dyDescent="0.3">
      <c r="A52">
        <v>1051</v>
      </c>
      <c r="B52">
        <v>8</v>
      </c>
      <c r="C52">
        <v>7</v>
      </c>
      <c r="D52">
        <v>5</v>
      </c>
      <c r="E52">
        <v>2</v>
      </c>
      <c r="F52">
        <v>4</v>
      </c>
      <c r="G52">
        <v>8</v>
      </c>
      <c r="H52">
        <v>152</v>
      </c>
      <c r="I52">
        <v>0</v>
      </c>
      <c r="J52">
        <v>49</v>
      </c>
      <c r="K52">
        <f t="shared" si="0"/>
        <v>5.2</v>
      </c>
      <c r="L52">
        <f t="shared" si="1"/>
        <v>52</v>
      </c>
      <c r="M52">
        <f t="shared" si="2"/>
        <v>60</v>
      </c>
      <c r="N52">
        <f t="shared" si="3"/>
        <v>40</v>
      </c>
      <c r="O52">
        <f t="shared" si="4"/>
        <v>51</v>
      </c>
      <c r="P52" t="str">
        <f t="shared" si="5"/>
        <v>Not Ready</v>
      </c>
      <c r="Q52" t="str">
        <f t="shared" si="6"/>
        <v>Medium</v>
      </c>
    </row>
    <row r="53" spans="1:17" x14ac:dyDescent="0.3">
      <c r="A53">
        <v>1052</v>
      </c>
      <c r="B53">
        <v>8</v>
      </c>
      <c r="C53">
        <v>5</v>
      </c>
      <c r="D53">
        <v>9</v>
      </c>
      <c r="E53">
        <v>7</v>
      </c>
      <c r="F53">
        <v>4</v>
      </c>
      <c r="G53">
        <v>3</v>
      </c>
      <c r="H53">
        <v>283</v>
      </c>
      <c r="I53">
        <v>0</v>
      </c>
      <c r="J53">
        <v>91</v>
      </c>
      <c r="K53">
        <f t="shared" si="0"/>
        <v>6.6</v>
      </c>
      <c r="L53">
        <f t="shared" si="1"/>
        <v>66</v>
      </c>
      <c r="M53">
        <f t="shared" si="2"/>
        <v>80</v>
      </c>
      <c r="N53">
        <f t="shared" si="3"/>
        <v>15</v>
      </c>
      <c r="O53">
        <f t="shared" si="4"/>
        <v>55</v>
      </c>
      <c r="P53" t="str">
        <f t="shared" si="5"/>
        <v>Placement Ready</v>
      </c>
      <c r="Q53" t="str">
        <f t="shared" si="6"/>
        <v>Medium</v>
      </c>
    </row>
    <row r="54" spans="1:17" x14ac:dyDescent="0.3">
      <c r="A54">
        <v>1053</v>
      </c>
      <c r="B54">
        <v>4</v>
      </c>
      <c r="C54">
        <v>4</v>
      </c>
      <c r="D54">
        <v>5</v>
      </c>
      <c r="E54">
        <v>8</v>
      </c>
      <c r="F54">
        <v>2</v>
      </c>
      <c r="G54">
        <v>5</v>
      </c>
      <c r="H54">
        <v>80</v>
      </c>
      <c r="I54">
        <v>4</v>
      </c>
      <c r="J54">
        <v>62</v>
      </c>
      <c r="K54">
        <f t="shared" si="0"/>
        <v>4.5999999999999996</v>
      </c>
      <c r="L54">
        <f t="shared" si="1"/>
        <v>46</v>
      </c>
      <c r="M54">
        <f t="shared" si="2"/>
        <v>40</v>
      </c>
      <c r="N54">
        <f t="shared" si="3"/>
        <v>65</v>
      </c>
      <c r="O54">
        <f t="shared" si="4"/>
        <v>50</v>
      </c>
      <c r="P54" t="str">
        <f t="shared" si="5"/>
        <v>Needs Improvement</v>
      </c>
      <c r="Q54" t="str">
        <f t="shared" si="6"/>
        <v>Medium</v>
      </c>
    </row>
    <row r="55" spans="1:17" x14ac:dyDescent="0.3">
      <c r="A55">
        <v>1054</v>
      </c>
      <c r="B55">
        <v>7</v>
      </c>
      <c r="C55">
        <v>7</v>
      </c>
      <c r="D55">
        <v>5</v>
      </c>
      <c r="E55">
        <v>3</v>
      </c>
      <c r="F55">
        <v>1</v>
      </c>
      <c r="G55">
        <v>0</v>
      </c>
      <c r="H55">
        <v>497</v>
      </c>
      <c r="I55">
        <v>5</v>
      </c>
      <c r="J55">
        <v>66</v>
      </c>
      <c r="K55">
        <f t="shared" si="0"/>
        <v>4.5999999999999996</v>
      </c>
      <c r="L55">
        <f t="shared" si="1"/>
        <v>46</v>
      </c>
      <c r="M55">
        <f t="shared" si="2"/>
        <v>100</v>
      </c>
      <c r="N55">
        <f t="shared" si="3"/>
        <v>50</v>
      </c>
      <c r="O55">
        <f t="shared" si="4"/>
        <v>63</v>
      </c>
      <c r="P55" t="str">
        <f t="shared" si="5"/>
        <v>Needs Improvement</v>
      </c>
      <c r="Q55" t="str">
        <f t="shared" si="6"/>
        <v>Medium</v>
      </c>
    </row>
    <row r="56" spans="1:17" x14ac:dyDescent="0.3">
      <c r="A56">
        <v>1055</v>
      </c>
      <c r="B56">
        <v>6</v>
      </c>
      <c r="C56">
        <v>2</v>
      </c>
      <c r="D56">
        <v>4</v>
      </c>
      <c r="E56">
        <v>8</v>
      </c>
      <c r="F56">
        <v>9</v>
      </c>
      <c r="G56">
        <v>8</v>
      </c>
      <c r="H56">
        <v>82</v>
      </c>
      <c r="I56">
        <v>2</v>
      </c>
      <c r="J56">
        <v>68</v>
      </c>
      <c r="K56">
        <f t="shared" si="0"/>
        <v>5.8</v>
      </c>
      <c r="L56">
        <f t="shared" si="1"/>
        <v>58</v>
      </c>
      <c r="M56">
        <f t="shared" si="2"/>
        <v>40</v>
      </c>
      <c r="N56">
        <f t="shared" si="3"/>
        <v>60</v>
      </c>
      <c r="O56">
        <f t="shared" si="4"/>
        <v>53</v>
      </c>
      <c r="P56" t="str">
        <f t="shared" si="5"/>
        <v>Needs Improvement</v>
      </c>
      <c r="Q56" t="str">
        <f t="shared" si="6"/>
        <v>Medium</v>
      </c>
    </row>
    <row r="57" spans="1:17" x14ac:dyDescent="0.3">
      <c r="A57">
        <v>1056</v>
      </c>
      <c r="B57">
        <v>7</v>
      </c>
      <c r="C57">
        <v>3</v>
      </c>
      <c r="D57">
        <v>10</v>
      </c>
      <c r="E57">
        <v>7</v>
      </c>
      <c r="F57">
        <v>2</v>
      </c>
      <c r="G57">
        <v>1</v>
      </c>
      <c r="H57">
        <v>120</v>
      </c>
      <c r="I57">
        <v>2</v>
      </c>
      <c r="J57">
        <v>61</v>
      </c>
      <c r="K57">
        <f t="shared" si="0"/>
        <v>5.8</v>
      </c>
      <c r="L57">
        <f t="shared" si="1"/>
        <v>58</v>
      </c>
      <c r="M57">
        <f t="shared" si="2"/>
        <v>40</v>
      </c>
      <c r="N57">
        <f t="shared" si="3"/>
        <v>25</v>
      </c>
      <c r="O57">
        <f t="shared" si="4"/>
        <v>43</v>
      </c>
      <c r="P57" t="str">
        <f t="shared" si="5"/>
        <v>Needs Improvement</v>
      </c>
      <c r="Q57" t="str">
        <f t="shared" si="6"/>
        <v>Medium</v>
      </c>
    </row>
    <row r="58" spans="1:17" x14ac:dyDescent="0.3">
      <c r="A58">
        <v>1057</v>
      </c>
      <c r="B58">
        <v>6</v>
      </c>
      <c r="C58">
        <v>4</v>
      </c>
      <c r="D58">
        <v>5</v>
      </c>
      <c r="E58">
        <v>1</v>
      </c>
      <c r="F58">
        <v>5</v>
      </c>
      <c r="G58">
        <v>4</v>
      </c>
      <c r="H58">
        <v>164</v>
      </c>
      <c r="I58">
        <v>5</v>
      </c>
      <c r="J58">
        <v>93</v>
      </c>
      <c r="K58">
        <f t="shared" si="0"/>
        <v>4.2</v>
      </c>
      <c r="L58">
        <f t="shared" si="1"/>
        <v>42</v>
      </c>
      <c r="M58">
        <f t="shared" si="2"/>
        <v>60</v>
      </c>
      <c r="N58">
        <f t="shared" si="3"/>
        <v>70</v>
      </c>
      <c r="O58">
        <f t="shared" si="4"/>
        <v>56</v>
      </c>
      <c r="P58" t="str">
        <f t="shared" si="5"/>
        <v>Placement Ready</v>
      </c>
      <c r="Q58" t="str">
        <f t="shared" si="6"/>
        <v>Medium</v>
      </c>
    </row>
    <row r="59" spans="1:17" x14ac:dyDescent="0.3">
      <c r="A59">
        <v>1058</v>
      </c>
      <c r="B59">
        <v>10</v>
      </c>
      <c r="C59">
        <v>6</v>
      </c>
      <c r="D59">
        <v>6</v>
      </c>
      <c r="E59">
        <v>8</v>
      </c>
      <c r="F59">
        <v>10</v>
      </c>
      <c r="G59">
        <v>8</v>
      </c>
      <c r="H59">
        <v>435</v>
      </c>
      <c r="I59">
        <v>1</v>
      </c>
      <c r="J59">
        <v>59</v>
      </c>
      <c r="K59">
        <f t="shared" si="0"/>
        <v>8</v>
      </c>
      <c r="L59">
        <f t="shared" si="1"/>
        <v>80</v>
      </c>
      <c r="M59">
        <f t="shared" si="2"/>
        <v>100</v>
      </c>
      <c r="N59">
        <f t="shared" si="3"/>
        <v>50</v>
      </c>
      <c r="O59">
        <f t="shared" si="4"/>
        <v>77</v>
      </c>
      <c r="P59" t="str">
        <f t="shared" si="5"/>
        <v>Needs Improvement</v>
      </c>
      <c r="Q59" t="str">
        <f t="shared" si="6"/>
        <v>High</v>
      </c>
    </row>
    <row r="60" spans="1:17" x14ac:dyDescent="0.3">
      <c r="A60">
        <v>1059</v>
      </c>
      <c r="B60">
        <v>10</v>
      </c>
      <c r="C60">
        <v>3</v>
      </c>
      <c r="D60">
        <v>4</v>
      </c>
      <c r="E60">
        <v>2</v>
      </c>
      <c r="F60">
        <v>2</v>
      </c>
      <c r="G60">
        <v>0</v>
      </c>
      <c r="H60">
        <v>71</v>
      </c>
      <c r="I60">
        <v>4</v>
      </c>
      <c r="J60">
        <v>45</v>
      </c>
      <c r="K60">
        <f t="shared" si="0"/>
        <v>4.2</v>
      </c>
      <c r="L60">
        <f t="shared" si="1"/>
        <v>42</v>
      </c>
      <c r="M60">
        <f t="shared" si="2"/>
        <v>40</v>
      </c>
      <c r="N60">
        <f t="shared" si="3"/>
        <v>40</v>
      </c>
      <c r="O60">
        <f t="shared" si="4"/>
        <v>41</v>
      </c>
      <c r="P60" t="str">
        <f t="shared" si="5"/>
        <v>Not Ready</v>
      </c>
      <c r="Q60" t="str">
        <f t="shared" si="6"/>
        <v>Medium</v>
      </c>
    </row>
    <row r="61" spans="1:17" x14ac:dyDescent="0.3">
      <c r="A61">
        <v>1060</v>
      </c>
      <c r="B61">
        <v>2</v>
      </c>
      <c r="C61">
        <v>1</v>
      </c>
      <c r="D61">
        <v>7</v>
      </c>
      <c r="E61">
        <v>9</v>
      </c>
      <c r="F61">
        <v>2</v>
      </c>
      <c r="G61">
        <v>4</v>
      </c>
      <c r="H61">
        <v>133</v>
      </c>
      <c r="I61">
        <v>3</v>
      </c>
      <c r="J61">
        <v>71</v>
      </c>
      <c r="K61">
        <f t="shared" si="0"/>
        <v>4.2</v>
      </c>
      <c r="L61">
        <f t="shared" si="1"/>
        <v>42</v>
      </c>
      <c r="M61">
        <f t="shared" si="2"/>
        <v>40</v>
      </c>
      <c r="N61">
        <f t="shared" si="3"/>
        <v>50</v>
      </c>
      <c r="O61">
        <f t="shared" si="4"/>
        <v>44</v>
      </c>
      <c r="P61" t="str">
        <f t="shared" si="5"/>
        <v>Needs Improvement</v>
      </c>
      <c r="Q61" t="str">
        <f t="shared" si="6"/>
        <v>Medium</v>
      </c>
    </row>
    <row r="62" spans="1:17" x14ac:dyDescent="0.3">
      <c r="A62">
        <v>1061</v>
      </c>
      <c r="B62">
        <v>9</v>
      </c>
      <c r="C62">
        <v>3</v>
      </c>
      <c r="D62">
        <v>7</v>
      </c>
      <c r="E62">
        <v>8</v>
      </c>
      <c r="F62">
        <v>9</v>
      </c>
      <c r="G62">
        <v>0</v>
      </c>
      <c r="H62">
        <v>92</v>
      </c>
      <c r="I62">
        <v>3</v>
      </c>
      <c r="J62">
        <v>80</v>
      </c>
      <c r="K62">
        <f t="shared" si="0"/>
        <v>7.2</v>
      </c>
      <c r="L62">
        <f t="shared" si="1"/>
        <v>72</v>
      </c>
      <c r="M62">
        <f t="shared" si="2"/>
        <v>40</v>
      </c>
      <c r="N62">
        <f t="shared" si="3"/>
        <v>30</v>
      </c>
      <c r="O62">
        <f t="shared" si="4"/>
        <v>50</v>
      </c>
      <c r="P62" t="str">
        <f t="shared" si="5"/>
        <v>Placement Ready</v>
      </c>
      <c r="Q62" t="str">
        <f t="shared" si="6"/>
        <v>Medium</v>
      </c>
    </row>
    <row r="63" spans="1:17" x14ac:dyDescent="0.3">
      <c r="A63">
        <v>1062</v>
      </c>
      <c r="B63">
        <v>4</v>
      </c>
      <c r="C63">
        <v>8</v>
      </c>
      <c r="D63">
        <v>8</v>
      </c>
      <c r="E63">
        <v>2</v>
      </c>
      <c r="F63">
        <v>9</v>
      </c>
      <c r="G63">
        <v>4</v>
      </c>
      <c r="H63">
        <v>171</v>
      </c>
      <c r="I63">
        <v>5</v>
      </c>
      <c r="J63">
        <v>56</v>
      </c>
      <c r="K63">
        <f t="shared" si="0"/>
        <v>6.2</v>
      </c>
      <c r="L63">
        <f t="shared" si="1"/>
        <v>62</v>
      </c>
      <c r="M63">
        <f t="shared" si="2"/>
        <v>60</v>
      </c>
      <c r="N63">
        <f t="shared" si="3"/>
        <v>70</v>
      </c>
      <c r="O63">
        <f t="shared" si="4"/>
        <v>64</v>
      </c>
      <c r="P63" t="str">
        <f t="shared" si="5"/>
        <v>Needs Improvement</v>
      </c>
      <c r="Q63" t="str">
        <f t="shared" si="6"/>
        <v>Medium</v>
      </c>
    </row>
    <row r="64" spans="1:17" x14ac:dyDescent="0.3">
      <c r="A64">
        <v>1063</v>
      </c>
      <c r="B64">
        <v>7</v>
      </c>
      <c r="C64">
        <v>7</v>
      </c>
      <c r="D64">
        <v>8</v>
      </c>
      <c r="E64">
        <v>4</v>
      </c>
      <c r="F64">
        <v>9</v>
      </c>
      <c r="G64">
        <v>4</v>
      </c>
      <c r="H64">
        <v>93</v>
      </c>
      <c r="I64">
        <v>3</v>
      </c>
      <c r="J64">
        <v>79</v>
      </c>
      <c r="K64">
        <f t="shared" si="0"/>
        <v>7</v>
      </c>
      <c r="L64">
        <f t="shared" si="1"/>
        <v>70</v>
      </c>
      <c r="M64">
        <f t="shared" si="2"/>
        <v>40</v>
      </c>
      <c r="N64">
        <f t="shared" si="3"/>
        <v>50</v>
      </c>
      <c r="O64">
        <f t="shared" si="4"/>
        <v>55</v>
      </c>
      <c r="P64" t="str">
        <f t="shared" si="5"/>
        <v>Placement Ready</v>
      </c>
      <c r="Q64" t="str">
        <f t="shared" si="6"/>
        <v>Medium</v>
      </c>
    </row>
    <row r="65" spans="1:17" x14ac:dyDescent="0.3">
      <c r="A65">
        <v>1064</v>
      </c>
      <c r="B65">
        <v>10</v>
      </c>
      <c r="C65">
        <v>10</v>
      </c>
      <c r="D65">
        <v>10</v>
      </c>
      <c r="E65">
        <v>5</v>
      </c>
      <c r="F65">
        <v>2</v>
      </c>
      <c r="G65">
        <v>3</v>
      </c>
      <c r="H65">
        <v>439</v>
      </c>
      <c r="I65">
        <v>0</v>
      </c>
      <c r="J65">
        <v>69</v>
      </c>
      <c r="K65">
        <f t="shared" si="0"/>
        <v>7.4</v>
      </c>
      <c r="L65">
        <f t="shared" si="1"/>
        <v>74</v>
      </c>
      <c r="M65">
        <f t="shared" si="2"/>
        <v>100</v>
      </c>
      <c r="N65">
        <f t="shared" si="3"/>
        <v>15</v>
      </c>
      <c r="O65">
        <f t="shared" si="4"/>
        <v>64</v>
      </c>
      <c r="P65" t="str">
        <f t="shared" si="5"/>
        <v>Needs Improvement</v>
      </c>
      <c r="Q65" t="str">
        <f t="shared" si="6"/>
        <v>Medium</v>
      </c>
    </row>
    <row r="66" spans="1:17" x14ac:dyDescent="0.3">
      <c r="A66">
        <v>1065</v>
      </c>
      <c r="B66">
        <v>5</v>
      </c>
      <c r="C66">
        <v>5</v>
      </c>
      <c r="D66">
        <v>2</v>
      </c>
      <c r="E66">
        <v>7</v>
      </c>
      <c r="F66">
        <v>9</v>
      </c>
      <c r="G66">
        <v>5</v>
      </c>
      <c r="H66">
        <v>499</v>
      </c>
      <c r="I66">
        <v>3</v>
      </c>
      <c r="J66">
        <v>54</v>
      </c>
      <c r="K66">
        <f t="shared" si="0"/>
        <v>5.6</v>
      </c>
      <c r="L66">
        <f t="shared" si="1"/>
        <v>56</v>
      </c>
      <c r="M66">
        <f t="shared" si="2"/>
        <v>100</v>
      </c>
      <c r="N66">
        <f t="shared" si="3"/>
        <v>55</v>
      </c>
      <c r="O66">
        <f t="shared" si="4"/>
        <v>69</v>
      </c>
      <c r="P66" t="str">
        <f t="shared" si="5"/>
        <v>Needs Improvement</v>
      </c>
      <c r="Q66" t="str">
        <f t="shared" si="6"/>
        <v>Medium</v>
      </c>
    </row>
    <row r="67" spans="1:17" x14ac:dyDescent="0.3">
      <c r="A67">
        <v>1066</v>
      </c>
      <c r="B67">
        <v>8</v>
      </c>
      <c r="C67">
        <v>10</v>
      </c>
      <c r="D67">
        <v>8</v>
      </c>
      <c r="E67">
        <v>9</v>
      </c>
      <c r="F67">
        <v>9</v>
      </c>
      <c r="G67">
        <v>6</v>
      </c>
      <c r="H67">
        <v>493</v>
      </c>
      <c r="I67">
        <v>3</v>
      </c>
      <c r="J67">
        <v>48</v>
      </c>
      <c r="K67">
        <f t="shared" ref="K67:K130" si="7">AVERAGE(B67:F67)</f>
        <v>8.8000000000000007</v>
      </c>
      <c r="L67">
        <f t="shared" ref="L67:L130" si="8">K67*10</f>
        <v>88</v>
      </c>
      <c r="M67">
        <f t="shared" ref="M67:M130" si="9">IF(H67&gt;=400,100,IF(H67&gt;=250,80,IF(H67&gt;=150,60,40)))</f>
        <v>100</v>
      </c>
      <c r="N67">
        <f t="shared" ref="N67:N130" si="10">(G67*5)+(I67*10)</f>
        <v>60</v>
      </c>
      <c r="O67">
        <f t="shared" ref="O67:O130" si="11">ROUND((L67*0.4)+(M67*0.3)+(N67*0.3),0)</f>
        <v>83</v>
      </c>
      <c r="P67" t="str">
        <f t="shared" ref="P67:P130" si="12">IF(J67&gt;=75,"Placement Ready",IF(J67&gt;=50,"Needs Improvement","Not Ready"))</f>
        <v>Not Ready</v>
      </c>
      <c r="Q67" t="str">
        <f t="shared" ref="Q67:Q130" si="13">IF(O67&lt;40,"Low",IF(O67&lt;=70,"Medium","High"))</f>
        <v>High</v>
      </c>
    </row>
    <row r="68" spans="1:17" x14ac:dyDescent="0.3">
      <c r="A68">
        <v>1067</v>
      </c>
      <c r="B68">
        <v>5</v>
      </c>
      <c r="C68">
        <v>9</v>
      </c>
      <c r="D68">
        <v>10</v>
      </c>
      <c r="E68">
        <v>6</v>
      </c>
      <c r="F68">
        <v>5</v>
      </c>
      <c r="G68">
        <v>4</v>
      </c>
      <c r="H68">
        <v>244</v>
      </c>
      <c r="I68">
        <v>2</v>
      </c>
      <c r="J68">
        <v>52</v>
      </c>
      <c r="K68">
        <f t="shared" si="7"/>
        <v>7</v>
      </c>
      <c r="L68">
        <f t="shared" si="8"/>
        <v>70</v>
      </c>
      <c r="M68">
        <f t="shared" si="9"/>
        <v>60</v>
      </c>
      <c r="N68">
        <f t="shared" si="10"/>
        <v>40</v>
      </c>
      <c r="O68">
        <f t="shared" si="11"/>
        <v>58</v>
      </c>
      <c r="P68" t="str">
        <f t="shared" si="12"/>
        <v>Needs Improvement</v>
      </c>
      <c r="Q68" t="str">
        <f t="shared" si="13"/>
        <v>Medium</v>
      </c>
    </row>
    <row r="69" spans="1:17" x14ac:dyDescent="0.3">
      <c r="A69">
        <v>1068</v>
      </c>
      <c r="B69">
        <v>4</v>
      </c>
      <c r="C69">
        <v>7</v>
      </c>
      <c r="D69">
        <v>7</v>
      </c>
      <c r="E69">
        <v>9</v>
      </c>
      <c r="F69">
        <v>1</v>
      </c>
      <c r="G69">
        <v>1</v>
      </c>
      <c r="H69">
        <v>92</v>
      </c>
      <c r="I69">
        <v>2</v>
      </c>
      <c r="J69">
        <v>89</v>
      </c>
      <c r="K69">
        <f t="shared" si="7"/>
        <v>5.6</v>
      </c>
      <c r="L69">
        <f t="shared" si="8"/>
        <v>56</v>
      </c>
      <c r="M69">
        <f t="shared" si="9"/>
        <v>40</v>
      </c>
      <c r="N69">
        <f t="shared" si="10"/>
        <v>25</v>
      </c>
      <c r="O69">
        <f t="shared" si="11"/>
        <v>42</v>
      </c>
      <c r="P69" t="str">
        <f t="shared" si="12"/>
        <v>Placement Ready</v>
      </c>
      <c r="Q69" t="str">
        <f t="shared" si="13"/>
        <v>Medium</v>
      </c>
    </row>
    <row r="70" spans="1:17" x14ac:dyDescent="0.3">
      <c r="A70">
        <v>1069</v>
      </c>
      <c r="B70">
        <v>9</v>
      </c>
      <c r="C70">
        <v>9</v>
      </c>
      <c r="D70">
        <v>1</v>
      </c>
      <c r="E70">
        <v>8</v>
      </c>
      <c r="F70">
        <v>7</v>
      </c>
      <c r="G70">
        <v>5</v>
      </c>
      <c r="H70">
        <v>315</v>
      </c>
      <c r="I70">
        <v>1</v>
      </c>
      <c r="J70">
        <v>48</v>
      </c>
      <c r="K70">
        <f t="shared" si="7"/>
        <v>6.8</v>
      </c>
      <c r="L70">
        <f t="shared" si="8"/>
        <v>68</v>
      </c>
      <c r="M70">
        <f t="shared" si="9"/>
        <v>80</v>
      </c>
      <c r="N70">
        <f t="shared" si="10"/>
        <v>35</v>
      </c>
      <c r="O70">
        <f t="shared" si="11"/>
        <v>62</v>
      </c>
      <c r="P70" t="str">
        <f t="shared" si="12"/>
        <v>Not Ready</v>
      </c>
      <c r="Q70" t="str">
        <f t="shared" si="13"/>
        <v>Medium</v>
      </c>
    </row>
    <row r="71" spans="1:17" x14ac:dyDescent="0.3">
      <c r="A71">
        <v>1070</v>
      </c>
      <c r="B71">
        <v>5</v>
      </c>
      <c r="C71">
        <v>10</v>
      </c>
      <c r="D71">
        <v>3</v>
      </c>
      <c r="E71">
        <v>2</v>
      </c>
      <c r="F71">
        <v>7</v>
      </c>
      <c r="G71">
        <v>5</v>
      </c>
      <c r="H71">
        <v>58</v>
      </c>
      <c r="I71">
        <v>3</v>
      </c>
      <c r="J71">
        <v>52</v>
      </c>
      <c r="K71">
        <f t="shared" si="7"/>
        <v>5.4</v>
      </c>
      <c r="L71">
        <f t="shared" si="8"/>
        <v>54</v>
      </c>
      <c r="M71">
        <f t="shared" si="9"/>
        <v>40</v>
      </c>
      <c r="N71">
        <f t="shared" si="10"/>
        <v>55</v>
      </c>
      <c r="O71">
        <f t="shared" si="11"/>
        <v>50</v>
      </c>
      <c r="P71" t="str">
        <f t="shared" si="12"/>
        <v>Needs Improvement</v>
      </c>
      <c r="Q71" t="str">
        <f t="shared" si="13"/>
        <v>Medium</v>
      </c>
    </row>
    <row r="72" spans="1:17" x14ac:dyDescent="0.3">
      <c r="A72">
        <v>1071</v>
      </c>
      <c r="B72">
        <v>2</v>
      </c>
      <c r="C72">
        <v>3</v>
      </c>
      <c r="D72">
        <v>3</v>
      </c>
      <c r="E72">
        <v>5</v>
      </c>
      <c r="F72">
        <v>4</v>
      </c>
      <c r="G72">
        <v>7</v>
      </c>
      <c r="H72">
        <v>355</v>
      </c>
      <c r="I72">
        <v>2</v>
      </c>
      <c r="J72">
        <v>64</v>
      </c>
      <c r="K72">
        <f t="shared" si="7"/>
        <v>3.4</v>
      </c>
      <c r="L72">
        <f t="shared" si="8"/>
        <v>34</v>
      </c>
      <c r="M72">
        <f t="shared" si="9"/>
        <v>80</v>
      </c>
      <c r="N72">
        <f t="shared" si="10"/>
        <v>55</v>
      </c>
      <c r="O72">
        <f t="shared" si="11"/>
        <v>54</v>
      </c>
      <c r="P72" t="str">
        <f t="shared" si="12"/>
        <v>Needs Improvement</v>
      </c>
      <c r="Q72" t="str">
        <f t="shared" si="13"/>
        <v>Medium</v>
      </c>
    </row>
    <row r="73" spans="1:17" x14ac:dyDescent="0.3">
      <c r="A73">
        <v>1072</v>
      </c>
      <c r="B73">
        <v>7</v>
      </c>
      <c r="C73">
        <v>7</v>
      </c>
      <c r="D73">
        <v>3</v>
      </c>
      <c r="E73">
        <v>8</v>
      </c>
      <c r="F73">
        <v>5</v>
      </c>
      <c r="G73">
        <v>2</v>
      </c>
      <c r="H73">
        <v>425</v>
      </c>
      <c r="I73">
        <v>3</v>
      </c>
      <c r="J73">
        <v>93</v>
      </c>
      <c r="K73">
        <f t="shared" si="7"/>
        <v>6</v>
      </c>
      <c r="L73">
        <f t="shared" si="8"/>
        <v>60</v>
      </c>
      <c r="M73">
        <f t="shared" si="9"/>
        <v>100</v>
      </c>
      <c r="N73">
        <f t="shared" si="10"/>
        <v>40</v>
      </c>
      <c r="O73">
        <f t="shared" si="11"/>
        <v>66</v>
      </c>
      <c r="P73" t="str">
        <f t="shared" si="12"/>
        <v>Placement Ready</v>
      </c>
      <c r="Q73" t="str">
        <f t="shared" si="13"/>
        <v>Medium</v>
      </c>
    </row>
    <row r="74" spans="1:17" x14ac:dyDescent="0.3">
      <c r="A74">
        <v>1073</v>
      </c>
      <c r="B74">
        <v>4</v>
      </c>
      <c r="C74">
        <v>8</v>
      </c>
      <c r="D74">
        <v>10</v>
      </c>
      <c r="E74">
        <v>1</v>
      </c>
      <c r="F74">
        <v>7</v>
      </c>
      <c r="G74">
        <v>4</v>
      </c>
      <c r="H74">
        <v>372</v>
      </c>
      <c r="I74">
        <v>3</v>
      </c>
      <c r="J74">
        <v>70</v>
      </c>
      <c r="K74">
        <f t="shared" si="7"/>
        <v>6</v>
      </c>
      <c r="L74">
        <f t="shared" si="8"/>
        <v>60</v>
      </c>
      <c r="M74">
        <f t="shared" si="9"/>
        <v>80</v>
      </c>
      <c r="N74">
        <f t="shared" si="10"/>
        <v>50</v>
      </c>
      <c r="O74">
        <f t="shared" si="11"/>
        <v>63</v>
      </c>
      <c r="P74" t="str">
        <f t="shared" si="12"/>
        <v>Needs Improvement</v>
      </c>
      <c r="Q74" t="str">
        <f t="shared" si="13"/>
        <v>Medium</v>
      </c>
    </row>
    <row r="75" spans="1:17" x14ac:dyDescent="0.3">
      <c r="A75">
        <v>1074</v>
      </c>
      <c r="B75">
        <v>9</v>
      </c>
      <c r="C75">
        <v>9</v>
      </c>
      <c r="D75">
        <v>4</v>
      </c>
      <c r="E75">
        <v>10</v>
      </c>
      <c r="F75">
        <v>10</v>
      </c>
      <c r="G75">
        <v>3</v>
      </c>
      <c r="H75">
        <v>184</v>
      </c>
      <c r="I75">
        <v>5</v>
      </c>
      <c r="J75">
        <v>66</v>
      </c>
      <c r="K75">
        <f t="shared" si="7"/>
        <v>8.4</v>
      </c>
      <c r="L75">
        <f t="shared" si="8"/>
        <v>84</v>
      </c>
      <c r="M75">
        <f t="shared" si="9"/>
        <v>60</v>
      </c>
      <c r="N75">
        <f t="shared" si="10"/>
        <v>65</v>
      </c>
      <c r="O75">
        <f t="shared" si="11"/>
        <v>71</v>
      </c>
      <c r="P75" t="str">
        <f t="shared" si="12"/>
        <v>Needs Improvement</v>
      </c>
      <c r="Q75" t="str">
        <f t="shared" si="13"/>
        <v>High</v>
      </c>
    </row>
    <row r="76" spans="1:17" x14ac:dyDescent="0.3">
      <c r="A76">
        <v>1075</v>
      </c>
      <c r="B76">
        <v>7</v>
      </c>
      <c r="C76">
        <v>2</v>
      </c>
      <c r="D76">
        <v>10</v>
      </c>
      <c r="E76">
        <v>4</v>
      </c>
      <c r="F76">
        <v>9</v>
      </c>
      <c r="G76">
        <v>0</v>
      </c>
      <c r="H76">
        <v>159</v>
      </c>
      <c r="I76">
        <v>4</v>
      </c>
      <c r="J76">
        <v>44</v>
      </c>
      <c r="K76">
        <f t="shared" si="7"/>
        <v>6.4</v>
      </c>
      <c r="L76">
        <f t="shared" si="8"/>
        <v>64</v>
      </c>
      <c r="M76">
        <f t="shared" si="9"/>
        <v>60</v>
      </c>
      <c r="N76">
        <f t="shared" si="10"/>
        <v>40</v>
      </c>
      <c r="O76">
        <f t="shared" si="11"/>
        <v>56</v>
      </c>
      <c r="P76" t="str">
        <f t="shared" si="12"/>
        <v>Not Ready</v>
      </c>
      <c r="Q76" t="str">
        <f t="shared" si="13"/>
        <v>Medium</v>
      </c>
    </row>
    <row r="77" spans="1:17" x14ac:dyDescent="0.3">
      <c r="A77">
        <v>1076</v>
      </c>
      <c r="B77">
        <v>1</v>
      </c>
      <c r="C77">
        <v>4</v>
      </c>
      <c r="D77">
        <v>2</v>
      </c>
      <c r="E77">
        <v>4</v>
      </c>
      <c r="F77">
        <v>6</v>
      </c>
      <c r="G77">
        <v>4</v>
      </c>
      <c r="H77">
        <v>492</v>
      </c>
      <c r="I77">
        <v>4</v>
      </c>
      <c r="J77">
        <v>67</v>
      </c>
      <c r="K77">
        <f t="shared" si="7"/>
        <v>3.4</v>
      </c>
      <c r="L77">
        <f t="shared" si="8"/>
        <v>34</v>
      </c>
      <c r="M77">
        <f t="shared" si="9"/>
        <v>100</v>
      </c>
      <c r="N77">
        <f t="shared" si="10"/>
        <v>60</v>
      </c>
      <c r="O77">
        <f t="shared" si="11"/>
        <v>62</v>
      </c>
      <c r="P77" t="str">
        <f t="shared" si="12"/>
        <v>Needs Improvement</v>
      </c>
      <c r="Q77" t="str">
        <f t="shared" si="13"/>
        <v>Medium</v>
      </c>
    </row>
    <row r="78" spans="1:17" x14ac:dyDescent="0.3">
      <c r="A78">
        <v>1077</v>
      </c>
      <c r="B78">
        <v>6</v>
      </c>
      <c r="C78">
        <v>10</v>
      </c>
      <c r="D78">
        <v>8</v>
      </c>
      <c r="E78">
        <v>6</v>
      </c>
      <c r="F78">
        <v>1</v>
      </c>
      <c r="G78">
        <v>7</v>
      </c>
      <c r="H78">
        <v>433</v>
      </c>
      <c r="I78">
        <v>1</v>
      </c>
      <c r="J78">
        <v>50</v>
      </c>
      <c r="K78">
        <f t="shared" si="7"/>
        <v>6.2</v>
      </c>
      <c r="L78">
        <f t="shared" si="8"/>
        <v>62</v>
      </c>
      <c r="M78">
        <f t="shared" si="9"/>
        <v>100</v>
      </c>
      <c r="N78">
        <f t="shared" si="10"/>
        <v>45</v>
      </c>
      <c r="O78">
        <f t="shared" si="11"/>
        <v>68</v>
      </c>
      <c r="P78" t="str">
        <f t="shared" si="12"/>
        <v>Needs Improvement</v>
      </c>
      <c r="Q78" t="str">
        <f t="shared" si="13"/>
        <v>Medium</v>
      </c>
    </row>
    <row r="79" spans="1:17" x14ac:dyDescent="0.3">
      <c r="A79">
        <v>1078</v>
      </c>
      <c r="B79">
        <v>9</v>
      </c>
      <c r="C79">
        <v>6</v>
      </c>
      <c r="D79">
        <v>6</v>
      </c>
      <c r="E79">
        <v>1</v>
      </c>
      <c r="F79">
        <v>5</v>
      </c>
      <c r="G79">
        <v>7</v>
      </c>
      <c r="H79">
        <v>490</v>
      </c>
      <c r="I79">
        <v>3</v>
      </c>
      <c r="J79">
        <v>45</v>
      </c>
      <c r="K79">
        <f t="shared" si="7"/>
        <v>5.4</v>
      </c>
      <c r="L79">
        <f t="shared" si="8"/>
        <v>54</v>
      </c>
      <c r="M79">
        <f t="shared" si="9"/>
        <v>100</v>
      </c>
      <c r="N79">
        <f t="shared" si="10"/>
        <v>65</v>
      </c>
      <c r="O79">
        <f t="shared" si="11"/>
        <v>71</v>
      </c>
      <c r="P79" t="str">
        <f t="shared" si="12"/>
        <v>Not Ready</v>
      </c>
      <c r="Q79" t="str">
        <f t="shared" si="13"/>
        <v>High</v>
      </c>
    </row>
    <row r="80" spans="1:17" x14ac:dyDescent="0.3">
      <c r="A80">
        <v>1079</v>
      </c>
      <c r="B80">
        <v>6</v>
      </c>
      <c r="C80">
        <v>3</v>
      </c>
      <c r="D80">
        <v>4</v>
      </c>
      <c r="E80">
        <v>2</v>
      </c>
      <c r="F80">
        <v>5</v>
      </c>
      <c r="G80">
        <v>0</v>
      </c>
      <c r="H80">
        <v>314</v>
      </c>
      <c r="I80">
        <v>5</v>
      </c>
      <c r="J80">
        <v>65</v>
      </c>
      <c r="K80">
        <f t="shared" si="7"/>
        <v>4</v>
      </c>
      <c r="L80">
        <f t="shared" si="8"/>
        <v>40</v>
      </c>
      <c r="M80">
        <f t="shared" si="9"/>
        <v>80</v>
      </c>
      <c r="N80">
        <f t="shared" si="10"/>
        <v>50</v>
      </c>
      <c r="O80">
        <f t="shared" si="11"/>
        <v>55</v>
      </c>
      <c r="P80" t="str">
        <f t="shared" si="12"/>
        <v>Needs Improvement</v>
      </c>
      <c r="Q80" t="str">
        <f t="shared" si="13"/>
        <v>Medium</v>
      </c>
    </row>
    <row r="81" spans="1:17" x14ac:dyDescent="0.3">
      <c r="A81">
        <v>1080</v>
      </c>
      <c r="B81">
        <v>9</v>
      </c>
      <c r="C81">
        <v>6</v>
      </c>
      <c r="D81">
        <v>4</v>
      </c>
      <c r="E81">
        <v>4</v>
      </c>
      <c r="F81">
        <v>5</v>
      </c>
      <c r="G81">
        <v>3</v>
      </c>
      <c r="H81">
        <v>231</v>
      </c>
      <c r="I81">
        <v>4</v>
      </c>
      <c r="J81">
        <v>84</v>
      </c>
      <c r="K81">
        <f t="shared" si="7"/>
        <v>5.6</v>
      </c>
      <c r="L81">
        <f t="shared" si="8"/>
        <v>56</v>
      </c>
      <c r="M81">
        <f t="shared" si="9"/>
        <v>60</v>
      </c>
      <c r="N81">
        <f t="shared" si="10"/>
        <v>55</v>
      </c>
      <c r="O81">
        <f t="shared" si="11"/>
        <v>57</v>
      </c>
      <c r="P81" t="str">
        <f t="shared" si="12"/>
        <v>Placement Ready</v>
      </c>
      <c r="Q81" t="str">
        <f t="shared" si="13"/>
        <v>Medium</v>
      </c>
    </row>
    <row r="82" spans="1:17" x14ac:dyDescent="0.3">
      <c r="A82">
        <v>1081</v>
      </c>
      <c r="B82">
        <v>5</v>
      </c>
      <c r="C82">
        <v>10</v>
      </c>
      <c r="D82">
        <v>6</v>
      </c>
      <c r="E82">
        <v>1</v>
      </c>
      <c r="F82">
        <v>8</v>
      </c>
      <c r="G82">
        <v>4</v>
      </c>
      <c r="H82">
        <v>382</v>
      </c>
      <c r="I82">
        <v>1</v>
      </c>
      <c r="J82">
        <v>81</v>
      </c>
      <c r="K82">
        <f t="shared" si="7"/>
        <v>6</v>
      </c>
      <c r="L82">
        <f t="shared" si="8"/>
        <v>60</v>
      </c>
      <c r="M82">
        <f t="shared" si="9"/>
        <v>80</v>
      </c>
      <c r="N82">
        <f t="shared" si="10"/>
        <v>30</v>
      </c>
      <c r="O82">
        <f t="shared" si="11"/>
        <v>57</v>
      </c>
      <c r="P82" t="str">
        <f t="shared" si="12"/>
        <v>Placement Ready</v>
      </c>
      <c r="Q82" t="str">
        <f t="shared" si="13"/>
        <v>Medium</v>
      </c>
    </row>
    <row r="83" spans="1:17" x14ac:dyDescent="0.3">
      <c r="A83">
        <v>1082</v>
      </c>
      <c r="B83">
        <v>3</v>
      </c>
      <c r="C83">
        <v>4</v>
      </c>
      <c r="D83">
        <v>1</v>
      </c>
      <c r="E83">
        <v>3</v>
      </c>
      <c r="F83">
        <v>6</v>
      </c>
      <c r="G83">
        <v>6</v>
      </c>
      <c r="H83">
        <v>233</v>
      </c>
      <c r="I83">
        <v>2</v>
      </c>
      <c r="J83">
        <v>87</v>
      </c>
      <c r="K83">
        <f t="shared" si="7"/>
        <v>3.4</v>
      </c>
      <c r="L83">
        <f t="shared" si="8"/>
        <v>34</v>
      </c>
      <c r="M83">
        <f t="shared" si="9"/>
        <v>60</v>
      </c>
      <c r="N83">
        <f t="shared" si="10"/>
        <v>50</v>
      </c>
      <c r="O83">
        <f t="shared" si="11"/>
        <v>47</v>
      </c>
      <c r="P83" t="str">
        <f t="shared" si="12"/>
        <v>Placement Ready</v>
      </c>
      <c r="Q83" t="str">
        <f t="shared" si="13"/>
        <v>Medium</v>
      </c>
    </row>
    <row r="84" spans="1:17" x14ac:dyDescent="0.3">
      <c r="A84">
        <v>1083</v>
      </c>
      <c r="B84">
        <v>4</v>
      </c>
      <c r="C84">
        <v>2</v>
      </c>
      <c r="D84">
        <v>4</v>
      </c>
      <c r="E84">
        <v>5</v>
      </c>
      <c r="F84">
        <v>7</v>
      </c>
      <c r="G84">
        <v>0</v>
      </c>
      <c r="H84">
        <v>221</v>
      </c>
      <c r="I84">
        <v>5</v>
      </c>
      <c r="J84">
        <v>61</v>
      </c>
      <c r="K84">
        <f t="shared" si="7"/>
        <v>4.4000000000000004</v>
      </c>
      <c r="L84">
        <f t="shared" si="8"/>
        <v>44</v>
      </c>
      <c r="M84">
        <f t="shared" si="9"/>
        <v>60</v>
      </c>
      <c r="N84">
        <f t="shared" si="10"/>
        <v>50</v>
      </c>
      <c r="O84">
        <f t="shared" si="11"/>
        <v>51</v>
      </c>
      <c r="P84" t="str">
        <f t="shared" si="12"/>
        <v>Needs Improvement</v>
      </c>
      <c r="Q84" t="str">
        <f t="shared" si="13"/>
        <v>Medium</v>
      </c>
    </row>
    <row r="85" spans="1:17" x14ac:dyDescent="0.3">
      <c r="A85">
        <v>1084</v>
      </c>
      <c r="B85">
        <v>3</v>
      </c>
      <c r="C85">
        <v>10</v>
      </c>
      <c r="D85">
        <v>7</v>
      </c>
      <c r="E85">
        <v>9</v>
      </c>
      <c r="F85">
        <v>2</v>
      </c>
      <c r="G85">
        <v>3</v>
      </c>
      <c r="H85">
        <v>70</v>
      </c>
      <c r="I85">
        <v>4</v>
      </c>
      <c r="J85">
        <v>72</v>
      </c>
      <c r="K85">
        <f t="shared" si="7"/>
        <v>6.2</v>
      </c>
      <c r="L85">
        <f t="shared" si="8"/>
        <v>62</v>
      </c>
      <c r="M85">
        <f t="shared" si="9"/>
        <v>40</v>
      </c>
      <c r="N85">
        <f t="shared" si="10"/>
        <v>55</v>
      </c>
      <c r="O85">
        <f t="shared" si="11"/>
        <v>53</v>
      </c>
      <c r="P85" t="str">
        <f t="shared" si="12"/>
        <v>Needs Improvement</v>
      </c>
      <c r="Q85" t="str">
        <f t="shared" si="13"/>
        <v>Medium</v>
      </c>
    </row>
    <row r="86" spans="1:17" x14ac:dyDescent="0.3">
      <c r="A86">
        <v>1085</v>
      </c>
      <c r="B86">
        <v>8</v>
      </c>
      <c r="C86">
        <v>8</v>
      </c>
      <c r="D86">
        <v>6</v>
      </c>
      <c r="E86">
        <v>3</v>
      </c>
      <c r="F86">
        <v>3</v>
      </c>
      <c r="G86">
        <v>7</v>
      </c>
      <c r="H86">
        <v>325</v>
      </c>
      <c r="I86">
        <v>4</v>
      </c>
      <c r="J86">
        <v>41</v>
      </c>
      <c r="K86">
        <f t="shared" si="7"/>
        <v>5.6</v>
      </c>
      <c r="L86">
        <f t="shared" si="8"/>
        <v>56</v>
      </c>
      <c r="M86">
        <f t="shared" si="9"/>
        <v>80</v>
      </c>
      <c r="N86">
        <f t="shared" si="10"/>
        <v>75</v>
      </c>
      <c r="O86">
        <f t="shared" si="11"/>
        <v>69</v>
      </c>
      <c r="P86" t="str">
        <f t="shared" si="12"/>
        <v>Not Ready</v>
      </c>
      <c r="Q86" t="str">
        <f t="shared" si="13"/>
        <v>Medium</v>
      </c>
    </row>
    <row r="87" spans="1:17" x14ac:dyDescent="0.3">
      <c r="A87">
        <v>1086</v>
      </c>
      <c r="B87">
        <v>10</v>
      </c>
      <c r="C87">
        <v>2</v>
      </c>
      <c r="D87">
        <v>3</v>
      </c>
      <c r="E87">
        <v>6</v>
      </c>
      <c r="F87">
        <v>7</v>
      </c>
      <c r="G87">
        <v>4</v>
      </c>
      <c r="H87">
        <v>164</v>
      </c>
      <c r="I87">
        <v>4</v>
      </c>
      <c r="J87">
        <v>61</v>
      </c>
      <c r="K87">
        <f t="shared" si="7"/>
        <v>5.6</v>
      </c>
      <c r="L87">
        <f t="shared" si="8"/>
        <v>56</v>
      </c>
      <c r="M87">
        <f t="shared" si="9"/>
        <v>60</v>
      </c>
      <c r="N87">
        <f t="shared" si="10"/>
        <v>60</v>
      </c>
      <c r="O87">
        <f t="shared" si="11"/>
        <v>58</v>
      </c>
      <c r="P87" t="str">
        <f t="shared" si="12"/>
        <v>Needs Improvement</v>
      </c>
      <c r="Q87" t="str">
        <f t="shared" si="13"/>
        <v>Medium</v>
      </c>
    </row>
    <row r="88" spans="1:17" x14ac:dyDescent="0.3">
      <c r="A88">
        <v>1087</v>
      </c>
      <c r="B88">
        <v>5</v>
      </c>
      <c r="C88">
        <v>10</v>
      </c>
      <c r="D88">
        <v>10</v>
      </c>
      <c r="E88">
        <v>5</v>
      </c>
      <c r="F88">
        <v>9</v>
      </c>
      <c r="G88">
        <v>6</v>
      </c>
      <c r="H88">
        <v>360</v>
      </c>
      <c r="I88">
        <v>5</v>
      </c>
      <c r="J88">
        <v>53</v>
      </c>
      <c r="K88">
        <f t="shared" si="7"/>
        <v>7.8</v>
      </c>
      <c r="L88">
        <f t="shared" si="8"/>
        <v>78</v>
      </c>
      <c r="M88">
        <f t="shared" si="9"/>
        <v>80</v>
      </c>
      <c r="N88">
        <f t="shared" si="10"/>
        <v>80</v>
      </c>
      <c r="O88">
        <f t="shared" si="11"/>
        <v>79</v>
      </c>
      <c r="P88" t="str">
        <f t="shared" si="12"/>
        <v>Needs Improvement</v>
      </c>
      <c r="Q88" t="str">
        <f t="shared" si="13"/>
        <v>High</v>
      </c>
    </row>
    <row r="89" spans="1:17" x14ac:dyDescent="0.3">
      <c r="A89">
        <v>1088</v>
      </c>
      <c r="B89">
        <v>6</v>
      </c>
      <c r="C89">
        <v>6</v>
      </c>
      <c r="D89">
        <v>10</v>
      </c>
      <c r="E89">
        <v>2</v>
      </c>
      <c r="F89">
        <v>3</v>
      </c>
      <c r="G89">
        <v>6</v>
      </c>
      <c r="H89">
        <v>387</v>
      </c>
      <c r="I89">
        <v>3</v>
      </c>
      <c r="J89">
        <v>66</v>
      </c>
      <c r="K89">
        <f t="shared" si="7"/>
        <v>5.4</v>
      </c>
      <c r="L89">
        <f t="shared" si="8"/>
        <v>54</v>
      </c>
      <c r="M89">
        <f t="shared" si="9"/>
        <v>80</v>
      </c>
      <c r="N89">
        <f t="shared" si="10"/>
        <v>60</v>
      </c>
      <c r="O89">
        <f t="shared" si="11"/>
        <v>64</v>
      </c>
      <c r="P89" t="str">
        <f t="shared" si="12"/>
        <v>Needs Improvement</v>
      </c>
      <c r="Q89" t="str">
        <f t="shared" si="13"/>
        <v>Medium</v>
      </c>
    </row>
    <row r="90" spans="1:17" x14ac:dyDescent="0.3">
      <c r="A90">
        <v>1089</v>
      </c>
      <c r="B90">
        <v>8</v>
      </c>
      <c r="C90">
        <v>3</v>
      </c>
      <c r="D90">
        <v>10</v>
      </c>
      <c r="E90">
        <v>8</v>
      </c>
      <c r="F90">
        <v>8</v>
      </c>
      <c r="G90">
        <v>4</v>
      </c>
      <c r="H90">
        <v>163</v>
      </c>
      <c r="I90">
        <v>2</v>
      </c>
      <c r="J90">
        <v>49</v>
      </c>
      <c r="K90">
        <f t="shared" si="7"/>
        <v>7.4</v>
      </c>
      <c r="L90">
        <f t="shared" si="8"/>
        <v>74</v>
      </c>
      <c r="M90">
        <f t="shared" si="9"/>
        <v>60</v>
      </c>
      <c r="N90">
        <f t="shared" si="10"/>
        <v>40</v>
      </c>
      <c r="O90">
        <f t="shared" si="11"/>
        <v>60</v>
      </c>
      <c r="P90" t="str">
        <f t="shared" si="12"/>
        <v>Not Ready</v>
      </c>
      <c r="Q90" t="str">
        <f t="shared" si="13"/>
        <v>Medium</v>
      </c>
    </row>
    <row r="91" spans="1:17" x14ac:dyDescent="0.3">
      <c r="A91">
        <v>1090</v>
      </c>
      <c r="B91">
        <v>9</v>
      </c>
      <c r="C91">
        <v>2</v>
      </c>
      <c r="D91">
        <v>6</v>
      </c>
      <c r="E91">
        <v>8</v>
      </c>
      <c r="F91">
        <v>8</v>
      </c>
      <c r="G91">
        <v>4</v>
      </c>
      <c r="H91">
        <v>357</v>
      </c>
      <c r="I91">
        <v>1</v>
      </c>
      <c r="J91">
        <v>77</v>
      </c>
      <c r="K91">
        <f t="shared" si="7"/>
        <v>6.6</v>
      </c>
      <c r="L91">
        <f t="shared" si="8"/>
        <v>66</v>
      </c>
      <c r="M91">
        <f t="shared" si="9"/>
        <v>80</v>
      </c>
      <c r="N91">
        <f t="shared" si="10"/>
        <v>30</v>
      </c>
      <c r="O91">
        <f t="shared" si="11"/>
        <v>59</v>
      </c>
      <c r="P91" t="str">
        <f t="shared" si="12"/>
        <v>Placement Ready</v>
      </c>
      <c r="Q91" t="str">
        <f t="shared" si="13"/>
        <v>Medium</v>
      </c>
    </row>
    <row r="92" spans="1:17" x14ac:dyDescent="0.3">
      <c r="A92">
        <v>1091</v>
      </c>
      <c r="B92">
        <v>5</v>
      </c>
      <c r="C92">
        <v>5</v>
      </c>
      <c r="D92">
        <v>8</v>
      </c>
      <c r="E92">
        <v>7</v>
      </c>
      <c r="F92">
        <v>8</v>
      </c>
      <c r="G92">
        <v>8</v>
      </c>
      <c r="H92">
        <v>337</v>
      </c>
      <c r="I92">
        <v>1</v>
      </c>
      <c r="J92">
        <v>90</v>
      </c>
      <c r="K92">
        <f t="shared" si="7"/>
        <v>6.6</v>
      </c>
      <c r="L92">
        <f t="shared" si="8"/>
        <v>66</v>
      </c>
      <c r="M92">
        <f t="shared" si="9"/>
        <v>80</v>
      </c>
      <c r="N92">
        <f t="shared" si="10"/>
        <v>50</v>
      </c>
      <c r="O92">
        <f t="shared" si="11"/>
        <v>65</v>
      </c>
      <c r="P92" t="str">
        <f t="shared" si="12"/>
        <v>Placement Ready</v>
      </c>
      <c r="Q92" t="str">
        <f t="shared" si="13"/>
        <v>Medium</v>
      </c>
    </row>
    <row r="93" spans="1:17" x14ac:dyDescent="0.3">
      <c r="A93">
        <v>1092</v>
      </c>
      <c r="B93">
        <v>10</v>
      </c>
      <c r="C93">
        <v>6</v>
      </c>
      <c r="D93">
        <v>7</v>
      </c>
      <c r="E93">
        <v>1</v>
      </c>
      <c r="F93">
        <v>1</v>
      </c>
      <c r="G93">
        <v>1</v>
      </c>
      <c r="H93">
        <v>444</v>
      </c>
      <c r="I93">
        <v>4</v>
      </c>
      <c r="J93">
        <v>47</v>
      </c>
      <c r="K93">
        <f t="shared" si="7"/>
        <v>5</v>
      </c>
      <c r="L93">
        <f t="shared" si="8"/>
        <v>50</v>
      </c>
      <c r="M93">
        <f t="shared" si="9"/>
        <v>100</v>
      </c>
      <c r="N93">
        <f t="shared" si="10"/>
        <v>45</v>
      </c>
      <c r="O93">
        <f t="shared" si="11"/>
        <v>64</v>
      </c>
      <c r="P93" t="str">
        <f t="shared" si="12"/>
        <v>Not Ready</v>
      </c>
      <c r="Q93" t="str">
        <f t="shared" si="13"/>
        <v>Medium</v>
      </c>
    </row>
    <row r="94" spans="1:17" x14ac:dyDescent="0.3">
      <c r="A94">
        <v>1093</v>
      </c>
      <c r="B94">
        <v>1</v>
      </c>
      <c r="C94">
        <v>8</v>
      </c>
      <c r="D94">
        <v>2</v>
      </c>
      <c r="E94">
        <v>4</v>
      </c>
      <c r="F94">
        <v>5</v>
      </c>
      <c r="G94">
        <v>7</v>
      </c>
      <c r="H94">
        <v>405</v>
      </c>
      <c r="I94">
        <v>2</v>
      </c>
      <c r="J94">
        <v>46</v>
      </c>
      <c r="K94">
        <f t="shared" si="7"/>
        <v>4</v>
      </c>
      <c r="L94">
        <f t="shared" si="8"/>
        <v>40</v>
      </c>
      <c r="M94">
        <f t="shared" si="9"/>
        <v>100</v>
      </c>
      <c r="N94">
        <f t="shared" si="10"/>
        <v>55</v>
      </c>
      <c r="O94">
        <f t="shared" si="11"/>
        <v>63</v>
      </c>
      <c r="P94" t="str">
        <f t="shared" si="12"/>
        <v>Not Ready</v>
      </c>
      <c r="Q94" t="str">
        <f t="shared" si="13"/>
        <v>Medium</v>
      </c>
    </row>
    <row r="95" spans="1:17" x14ac:dyDescent="0.3">
      <c r="A95">
        <v>1094</v>
      </c>
      <c r="B95">
        <v>2</v>
      </c>
      <c r="C95">
        <v>10</v>
      </c>
      <c r="D95">
        <v>10</v>
      </c>
      <c r="E95">
        <v>7</v>
      </c>
      <c r="F95">
        <v>3</v>
      </c>
      <c r="G95">
        <v>6</v>
      </c>
      <c r="H95">
        <v>297</v>
      </c>
      <c r="I95">
        <v>4</v>
      </c>
      <c r="J95">
        <v>56</v>
      </c>
      <c r="K95">
        <f t="shared" si="7"/>
        <v>6.4</v>
      </c>
      <c r="L95">
        <f t="shared" si="8"/>
        <v>64</v>
      </c>
      <c r="M95">
        <f t="shared" si="9"/>
        <v>80</v>
      </c>
      <c r="N95">
        <f t="shared" si="10"/>
        <v>70</v>
      </c>
      <c r="O95">
        <f t="shared" si="11"/>
        <v>71</v>
      </c>
      <c r="P95" t="str">
        <f t="shared" si="12"/>
        <v>Needs Improvement</v>
      </c>
      <c r="Q95" t="str">
        <f t="shared" si="13"/>
        <v>High</v>
      </c>
    </row>
    <row r="96" spans="1:17" x14ac:dyDescent="0.3">
      <c r="A96">
        <v>1095</v>
      </c>
      <c r="B96">
        <v>4</v>
      </c>
      <c r="C96">
        <v>2</v>
      </c>
      <c r="D96">
        <v>1</v>
      </c>
      <c r="E96">
        <v>2</v>
      </c>
      <c r="F96">
        <v>4</v>
      </c>
      <c r="G96">
        <v>6</v>
      </c>
      <c r="H96">
        <v>343</v>
      </c>
      <c r="I96">
        <v>0</v>
      </c>
      <c r="J96">
        <v>85</v>
      </c>
      <c r="K96">
        <f t="shared" si="7"/>
        <v>2.6</v>
      </c>
      <c r="L96">
        <f t="shared" si="8"/>
        <v>26</v>
      </c>
      <c r="M96">
        <f t="shared" si="9"/>
        <v>80</v>
      </c>
      <c r="N96">
        <f t="shared" si="10"/>
        <v>30</v>
      </c>
      <c r="O96">
        <f t="shared" si="11"/>
        <v>43</v>
      </c>
      <c r="P96" t="str">
        <f t="shared" si="12"/>
        <v>Placement Ready</v>
      </c>
      <c r="Q96" t="str">
        <f t="shared" si="13"/>
        <v>Medium</v>
      </c>
    </row>
    <row r="97" spans="1:17" x14ac:dyDescent="0.3">
      <c r="A97">
        <v>1096</v>
      </c>
      <c r="B97">
        <v>1</v>
      </c>
      <c r="C97">
        <v>10</v>
      </c>
      <c r="D97">
        <v>2</v>
      </c>
      <c r="E97">
        <v>6</v>
      </c>
      <c r="F97">
        <v>9</v>
      </c>
      <c r="G97">
        <v>2</v>
      </c>
      <c r="H97">
        <v>151</v>
      </c>
      <c r="I97">
        <v>3</v>
      </c>
      <c r="J97">
        <v>44</v>
      </c>
      <c r="K97">
        <f t="shared" si="7"/>
        <v>5.6</v>
      </c>
      <c r="L97">
        <f t="shared" si="8"/>
        <v>56</v>
      </c>
      <c r="M97">
        <f t="shared" si="9"/>
        <v>60</v>
      </c>
      <c r="N97">
        <f t="shared" si="10"/>
        <v>40</v>
      </c>
      <c r="O97">
        <f t="shared" si="11"/>
        <v>52</v>
      </c>
      <c r="P97" t="str">
        <f t="shared" si="12"/>
        <v>Not Ready</v>
      </c>
      <c r="Q97" t="str">
        <f t="shared" si="13"/>
        <v>Medium</v>
      </c>
    </row>
    <row r="98" spans="1:17" x14ac:dyDescent="0.3">
      <c r="A98">
        <v>1097</v>
      </c>
      <c r="B98">
        <v>1</v>
      </c>
      <c r="C98">
        <v>1</v>
      </c>
      <c r="D98">
        <v>4</v>
      </c>
      <c r="E98">
        <v>1</v>
      </c>
      <c r="F98">
        <v>6</v>
      </c>
      <c r="G98">
        <v>8</v>
      </c>
      <c r="H98">
        <v>52</v>
      </c>
      <c r="I98">
        <v>0</v>
      </c>
      <c r="J98">
        <v>44</v>
      </c>
      <c r="K98">
        <f t="shared" si="7"/>
        <v>2.6</v>
      </c>
      <c r="L98">
        <f t="shared" si="8"/>
        <v>26</v>
      </c>
      <c r="M98">
        <f t="shared" si="9"/>
        <v>40</v>
      </c>
      <c r="N98">
        <f t="shared" si="10"/>
        <v>40</v>
      </c>
      <c r="O98">
        <f t="shared" si="11"/>
        <v>34</v>
      </c>
      <c r="P98" t="str">
        <f t="shared" si="12"/>
        <v>Not Ready</v>
      </c>
      <c r="Q98" t="str">
        <f t="shared" si="13"/>
        <v>Low</v>
      </c>
    </row>
    <row r="99" spans="1:17" x14ac:dyDescent="0.3">
      <c r="A99">
        <v>1098</v>
      </c>
      <c r="B99">
        <v>4</v>
      </c>
      <c r="C99">
        <v>2</v>
      </c>
      <c r="D99">
        <v>4</v>
      </c>
      <c r="E99">
        <v>5</v>
      </c>
      <c r="F99">
        <v>1</v>
      </c>
      <c r="G99">
        <v>3</v>
      </c>
      <c r="H99">
        <v>208</v>
      </c>
      <c r="I99">
        <v>2</v>
      </c>
      <c r="J99">
        <v>58</v>
      </c>
      <c r="K99">
        <f t="shared" si="7"/>
        <v>3.2</v>
      </c>
      <c r="L99">
        <f t="shared" si="8"/>
        <v>32</v>
      </c>
      <c r="M99">
        <f t="shared" si="9"/>
        <v>60</v>
      </c>
      <c r="N99">
        <f t="shared" si="10"/>
        <v>35</v>
      </c>
      <c r="O99">
        <f t="shared" si="11"/>
        <v>41</v>
      </c>
      <c r="P99" t="str">
        <f t="shared" si="12"/>
        <v>Needs Improvement</v>
      </c>
      <c r="Q99" t="str">
        <f t="shared" si="13"/>
        <v>Medium</v>
      </c>
    </row>
    <row r="100" spans="1:17" x14ac:dyDescent="0.3">
      <c r="A100">
        <v>1099</v>
      </c>
      <c r="B100">
        <v>10</v>
      </c>
      <c r="C100">
        <v>6</v>
      </c>
      <c r="D100">
        <v>2</v>
      </c>
      <c r="E100">
        <v>6</v>
      </c>
      <c r="F100">
        <v>10</v>
      </c>
      <c r="G100">
        <v>2</v>
      </c>
      <c r="H100">
        <v>127</v>
      </c>
      <c r="I100">
        <v>4</v>
      </c>
      <c r="J100">
        <v>59</v>
      </c>
      <c r="K100">
        <f t="shared" si="7"/>
        <v>6.8</v>
      </c>
      <c r="L100">
        <f t="shared" si="8"/>
        <v>68</v>
      </c>
      <c r="M100">
        <f t="shared" si="9"/>
        <v>40</v>
      </c>
      <c r="N100">
        <f t="shared" si="10"/>
        <v>50</v>
      </c>
      <c r="O100">
        <f t="shared" si="11"/>
        <v>54</v>
      </c>
      <c r="P100" t="str">
        <f t="shared" si="12"/>
        <v>Needs Improvement</v>
      </c>
      <c r="Q100" t="str">
        <f t="shared" si="13"/>
        <v>Medium</v>
      </c>
    </row>
    <row r="101" spans="1:17" x14ac:dyDescent="0.3">
      <c r="A101">
        <v>1100</v>
      </c>
      <c r="B101">
        <v>6</v>
      </c>
      <c r="C101">
        <v>9</v>
      </c>
      <c r="D101">
        <v>2</v>
      </c>
      <c r="E101">
        <v>10</v>
      </c>
      <c r="F101">
        <v>1</v>
      </c>
      <c r="G101">
        <v>4</v>
      </c>
      <c r="H101">
        <v>265</v>
      </c>
      <c r="I101">
        <v>2</v>
      </c>
      <c r="J101">
        <v>94</v>
      </c>
      <c r="K101">
        <f t="shared" si="7"/>
        <v>5.6</v>
      </c>
      <c r="L101">
        <f t="shared" si="8"/>
        <v>56</v>
      </c>
      <c r="M101">
        <f t="shared" si="9"/>
        <v>80</v>
      </c>
      <c r="N101">
        <f t="shared" si="10"/>
        <v>40</v>
      </c>
      <c r="O101">
        <f t="shared" si="11"/>
        <v>58</v>
      </c>
      <c r="P101" t="str">
        <f t="shared" si="12"/>
        <v>Placement Ready</v>
      </c>
      <c r="Q101" t="str">
        <f t="shared" si="13"/>
        <v>Medium</v>
      </c>
    </row>
    <row r="102" spans="1:17" x14ac:dyDescent="0.3">
      <c r="A102">
        <v>1101</v>
      </c>
      <c r="B102">
        <v>1</v>
      </c>
      <c r="C102">
        <v>9</v>
      </c>
      <c r="D102">
        <v>4</v>
      </c>
      <c r="E102">
        <v>10</v>
      </c>
      <c r="F102">
        <v>6</v>
      </c>
      <c r="G102">
        <v>1</v>
      </c>
      <c r="H102">
        <v>500</v>
      </c>
      <c r="I102">
        <v>5</v>
      </c>
      <c r="J102">
        <v>52</v>
      </c>
      <c r="K102">
        <f t="shared" si="7"/>
        <v>6</v>
      </c>
      <c r="L102">
        <f t="shared" si="8"/>
        <v>60</v>
      </c>
      <c r="M102">
        <f t="shared" si="9"/>
        <v>100</v>
      </c>
      <c r="N102">
        <f t="shared" si="10"/>
        <v>55</v>
      </c>
      <c r="O102">
        <f t="shared" si="11"/>
        <v>71</v>
      </c>
      <c r="P102" t="str">
        <f t="shared" si="12"/>
        <v>Needs Improvement</v>
      </c>
      <c r="Q102" t="str">
        <f t="shared" si="13"/>
        <v>High</v>
      </c>
    </row>
    <row r="103" spans="1:17" x14ac:dyDescent="0.3">
      <c r="A103">
        <v>1102</v>
      </c>
      <c r="B103">
        <v>3</v>
      </c>
      <c r="C103">
        <v>9</v>
      </c>
      <c r="D103">
        <v>10</v>
      </c>
      <c r="E103">
        <v>5</v>
      </c>
      <c r="F103">
        <v>2</v>
      </c>
      <c r="G103">
        <v>0</v>
      </c>
      <c r="H103">
        <v>413</v>
      </c>
      <c r="I103">
        <v>2</v>
      </c>
      <c r="J103">
        <v>80</v>
      </c>
      <c r="K103">
        <f t="shared" si="7"/>
        <v>5.8</v>
      </c>
      <c r="L103">
        <f t="shared" si="8"/>
        <v>58</v>
      </c>
      <c r="M103">
        <f t="shared" si="9"/>
        <v>100</v>
      </c>
      <c r="N103">
        <f t="shared" si="10"/>
        <v>20</v>
      </c>
      <c r="O103">
        <f t="shared" si="11"/>
        <v>59</v>
      </c>
      <c r="P103" t="str">
        <f t="shared" si="12"/>
        <v>Placement Ready</v>
      </c>
      <c r="Q103" t="str">
        <f t="shared" si="13"/>
        <v>Medium</v>
      </c>
    </row>
    <row r="104" spans="1:17" x14ac:dyDescent="0.3">
      <c r="A104">
        <v>1103</v>
      </c>
      <c r="B104">
        <v>3</v>
      </c>
      <c r="C104">
        <v>2</v>
      </c>
      <c r="D104">
        <v>3</v>
      </c>
      <c r="E104">
        <v>7</v>
      </c>
      <c r="F104">
        <v>1</v>
      </c>
      <c r="G104">
        <v>2</v>
      </c>
      <c r="H104">
        <v>387</v>
      </c>
      <c r="I104">
        <v>0</v>
      </c>
      <c r="J104">
        <v>70</v>
      </c>
      <c r="K104">
        <f t="shared" si="7"/>
        <v>3.2</v>
      </c>
      <c r="L104">
        <f t="shared" si="8"/>
        <v>32</v>
      </c>
      <c r="M104">
        <f t="shared" si="9"/>
        <v>80</v>
      </c>
      <c r="N104">
        <f t="shared" si="10"/>
        <v>10</v>
      </c>
      <c r="O104">
        <f t="shared" si="11"/>
        <v>40</v>
      </c>
      <c r="P104" t="str">
        <f t="shared" si="12"/>
        <v>Needs Improvement</v>
      </c>
      <c r="Q104" t="str">
        <f t="shared" si="13"/>
        <v>Medium</v>
      </c>
    </row>
    <row r="105" spans="1:17" x14ac:dyDescent="0.3">
      <c r="A105">
        <v>1104</v>
      </c>
      <c r="B105">
        <v>10</v>
      </c>
      <c r="C105">
        <v>9</v>
      </c>
      <c r="D105">
        <v>8</v>
      </c>
      <c r="E105">
        <v>5</v>
      </c>
      <c r="F105">
        <v>1</v>
      </c>
      <c r="G105">
        <v>8</v>
      </c>
      <c r="H105">
        <v>265</v>
      </c>
      <c r="I105">
        <v>0</v>
      </c>
      <c r="J105">
        <v>42</v>
      </c>
      <c r="K105">
        <f t="shared" si="7"/>
        <v>6.6</v>
      </c>
      <c r="L105">
        <f t="shared" si="8"/>
        <v>66</v>
      </c>
      <c r="M105">
        <f t="shared" si="9"/>
        <v>80</v>
      </c>
      <c r="N105">
        <f t="shared" si="10"/>
        <v>40</v>
      </c>
      <c r="O105">
        <f t="shared" si="11"/>
        <v>62</v>
      </c>
      <c r="P105" t="str">
        <f t="shared" si="12"/>
        <v>Not Ready</v>
      </c>
      <c r="Q105" t="str">
        <f t="shared" si="13"/>
        <v>Medium</v>
      </c>
    </row>
    <row r="106" spans="1:17" x14ac:dyDescent="0.3">
      <c r="A106">
        <v>1105</v>
      </c>
      <c r="B106">
        <v>4</v>
      </c>
      <c r="C106">
        <v>5</v>
      </c>
      <c r="D106">
        <v>8</v>
      </c>
      <c r="E106">
        <v>2</v>
      </c>
      <c r="F106">
        <v>7</v>
      </c>
      <c r="G106">
        <v>8</v>
      </c>
      <c r="H106">
        <v>170</v>
      </c>
      <c r="I106">
        <v>2</v>
      </c>
      <c r="J106">
        <v>66</v>
      </c>
      <c r="K106">
        <f t="shared" si="7"/>
        <v>5.2</v>
      </c>
      <c r="L106">
        <f t="shared" si="8"/>
        <v>52</v>
      </c>
      <c r="M106">
        <f t="shared" si="9"/>
        <v>60</v>
      </c>
      <c r="N106">
        <f t="shared" si="10"/>
        <v>60</v>
      </c>
      <c r="O106">
        <f t="shared" si="11"/>
        <v>57</v>
      </c>
      <c r="P106" t="str">
        <f t="shared" si="12"/>
        <v>Needs Improvement</v>
      </c>
      <c r="Q106" t="str">
        <f t="shared" si="13"/>
        <v>Medium</v>
      </c>
    </row>
    <row r="107" spans="1:17" x14ac:dyDescent="0.3">
      <c r="A107">
        <v>1106</v>
      </c>
      <c r="B107">
        <v>3</v>
      </c>
      <c r="C107">
        <v>10</v>
      </c>
      <c r="D107">
        <v>5</v>
      </c>
      <c r="E107">
        <v>7</v>
      </c>
      <c r="F107">
        <v>3</v>
      </c>
      <c r="G107">
        <v>2</v>
      </c>
      <c r="H107">
        <v>235</v>
      </c>
      <c r="I107">
        <v>0</v>
      </c>
      <c r="J107">
        <v>67</v>
      </c>
      <c r="K107">
        <f t="shared" si="7"/>
        <v>5.6</v>
      </c>
      <c r="L107">
        <f t="shared" si="8"/>
        <v>56</v>
      </c>
      <c r="M107">
        <f t="shared" si="9"/>
        <v>60</v>
      </c>
      <c r="N107">
        <f t="shared" si="10"/>
        <v>10</v>
      </c>
      <c r="O107">
        <f t="shared" si="11"/>
        <v>43</v>
      </c>
      <c r="P107" t="str">
        <f t="shared" si="12"/>
        <v>Needs Improvement</v>
      </c>
      <c r="Q107" t="str">
        <f t="shared" si="13"/>
        <v>Medium</v>
      </c>
    </row>
    <row r="108" spans="1:17" x14ac:dyDescent="0.3">
      <c r="A108">
        <v>1107</v>
      </c>
      <c r="B108">
        <v>1</v>
      </c>
      <c r="C108">
        <v>10</v>
      </c>
      <c r="D108">
        <v>4</v>
      </c>
      <c r="E108">
        <v>1</v>
      </c>
      <c r="F108">
        <v>6</v>
      </c>
      <c r="G108">
        <v>5</v>
      </c>
      <c r="H108">
        <v>457</v>
      </c>
      <c r="I108">
        <v>5</v>
      </c>
      <c r="J108">
        <v>58</v>
      </c>
      <c r="K108">
        <f t="shared" si="7"/>
        <v>4.4000000000000004</v>
      </c>
      <c r="L108">
        <f t="shared" si="8"/>
        <v>44</v>
      </c>
      <c r="M108">
        <f t="shared" si="9"/>
        <v>100</v>
      </c>
      <c r="N108">
        <f t="shared" si="10"/>
        <v>75</v>
      </c>
      <c r="O108">
        <f t="shared" si="11"/>
        <v>70</v>
      </c>
      <c r="P108" t="str">
        <f t="shared" si="12"/>
        <v>Needs Improvement</v>
      </c>
      <c r="Q108" t="str">
        <f t="shared" si="13"/>
        <v>Medium</v>
      </c>
    </row>
    <row r="109" spans="1:17" x14ac:dyDescent="0.3">
      <c r="A109">
        <v>1108</v>
      </c>
      <c r="B109">
        <v>8</v>
      </c>
      <c r="C109">
        <v>5</v>
      </c>
      <c r="D109">
        <v>7</v>
      </c>
      <c r="E109">
        <v>1</v>
      </c>
      <c r="F109">
        <v>5</v>
      </c>
      <c r="G109">
        <v>7</v>
      </c>
      <c r="H109">
        <v>304</v>
      </c>
      <c r="I109">
        <v>0</v>
      </c>
      <c r="J109">
        <v>60</v>
      </c>
      <c r="K109">
        <f t="shared" si="7"/>
        <v>5.2</v>
      </c>
      <c r="L109">
        <f t="shared" si="8"/>
        <v>52</v>
      </c>
      <c r="M109">
        <f t="shared" si="9"/>
        <v>80</v>
      </c>
      <c r="N109">
        <f t="shared" si="10"/>
        <v>35</v>
      </c>
      <c r="O109">
        <f t="shared" si="11"/>
        <v>55</v>
      </c>
      <c r="P109" t="str">
        <f t="shared" si="12"/>
        <v>Needs Improvement</v>
      </c>
      <c r="Q109" t="str">
        <f t="shared" si="13"/>
        <v>Medium</v>
      </c>
    </row>
    <row r="110" spans="1:17" x14ac:dyDescent="0.3">
      <c r="A110">
        <v>1109</v>
      </c>
      <c r="B110">
        <v>7</v>
      </c>
      <c r="C110">
        <v>7</v>
      </c>
      <c r="D110">
        <v>2</v>
      </c>
      <c r="E110">
        <v>3</v>
      </c>
      <c r="F110">
        <v>3</v>
      </c>
      <c r="G110">
        <v>1</v>
      </c>
      <c r="H110">
        <v>250</v>
      </c>
      <c r="I110">
        <v>3</v>
      </c>
      <c r="J110">
        <v>49</v>
      </c>
      <c r="K110">
        <f t="shared" si="7"/>
        <v>4.4000000000000004</v>
      </c>
      <c r="L110">
        <f t="shared" si="8"/>
        <v>44</v>
      </c>
      <c r="M110">
        <f t="shared" si="9"/>
        <v>80</v>
      </c>
      <c r="N110">
        <f t="shared" si="10"/>
        <v>35</v>
      </c>
      <c r="O110">
        <f t="shared" si="11"/>
        <v>52</v>
      </c>
      <c r="P110" t="str">
        <f t="shared" si="12"/>
        <v>Not Ready</v>
      </c>
      <c r="Q110" t="str">
        <f t="shared" si="13"/>
        <v>Medium</v>
      </c>
    </row>
    <row r="111" spans="1:17" x14ac:dyDescent="0.3">
      <c r="A111">
        <v>1110</v>
      </c>
      <c r="B111">
        <v>5</v>
      </c>
      <c r="C111">
        <v>9</v>
      </c>
      <c r="D111">
        <v>1</v>
      </c>
      <c r="E111">
        <v>3</v>
      </c>
      <c r="F111">
        <v>2</v>
      </c>
      <c r="G111">
        <v>8</v>
      </c>
      <c r="H111">
        <v>395</v>
      </c>
      <c r="I111">
        <v>5</v>
      </c>
      <c r="J111">
        <v>92</v>
      </c>
      <c r="K111">
        <f t="shared" si="7"/>
        <v>4</v>
      </c>
      <c r="L111">
        <f t="shared" si="8"/>
        <v>40</v>
      </c>
      <c r="M111">
        <f t="shared" si="9"/>
        <v>80</v>
      </c>
      <c r="N111">
        <f t="shared" si="10"/>
        <v>90</v>
      </c>
      <c r="O111">
        <f t="shared" si="11"/>
        <v>67</v>
      </c>
      <c r="P111" t="str">
        <f t="shared" si="12"/>
        <v>Placement Ready</v>
      </c>
      <c r="Q111" t="str">
        <f t="shared" si="13"/>
        <v>Medium</v>
      </c>
    </row>
    <row r="112" spans="1:17" x14ac:dyDescent="0.3">
      <c r="A112">
        <v>1111</v>
      </c>
      <c r="B112">
        <v>1</v>
      </c>
      <c r="C112">
        <v>6</v>
      </c>
      <c r="D112">
        <v>8</v>
      </c>
      <c r="E112">
        <v>2</v>
      </c>
      <c r="F112">
        <v>3</v>
      </c>
      <c r="G112">
        <v>7</v>
      </c>
      <c r="H112">
        <v>144</v>
      </c>
      <c r="I112">
        <v>0</v>
      </c>
      <c r="J112">
        <v>92</v>
      </c>
      <c r="K112">
        <f t="shared" si="7"/>
        <v>4</v>
      </c>
      <c r="L112">
        <f t="shared" si="8"/>
        <v>40</v>
      </c>
      <c r="M112">
        <f t="shared" si="9"/>
        <v>40</v>
      </c>
      <c r="N112">
        <f t="shared" si="10"/>
        <v>35</v>
      </c>
      <c r="O112">
        <f t="shared" si="11"/>
        <v>39</v>
      </c>
      <c r="P112" t="str">
        <f t="shared" si="12"/>
        <v>Placement Ready</v>
      </c>
      <c r="Q112" t="str">
        <f t="shared" si="13"/>
        <v>Low</v>
      </c>
    </row>
    <row r="113" spans="1:17" x14ac:dyDescent="0.3">
      <c r="A113">
        <v>1112</v>
      </c>
      <c r="B113">
        <v>5</v>
      </c>
      <c r="C113">
        <v>4</v>
      </c>
      <c r="D113">
        <v>10</v>
      </c>
      <c r="E113">
        <v>4</v>
      </c>
      <c r="F113">
        <v>3</v>
      </c>
      <c r="G113">
        <v>8</v>
      </c>
      <c r="H113">
        <v>345</v>
      </c>
      <c r="I113">
        <v>2</v>
      </c>
      <c r="J113">
        <v>72</v>
      </c>
      <c r="K113">
        <f t="shared" si="7"/>
        <v>5.2</v>
      </c>
      <c r="L113">
        <f t="shared" si="8"/>
        <v>52</v>
      </c>
      <c r="M113">
        <f t="shared" si="9"/>
        <v>80</v>
      </c>
      <c r="N113">
        <f t="shared" si="10"/>
        <v>60</v>
      </c>
      <c r="O113">
        <f t="shared" si="11"/>
        <v>63</v>
      </c>
      <c r="P113" t="str">
        <f t="shared" si="12"/>
        <v>Needs Improvement</v>
      </c>
      <c r="Q113" t="str">
        <f t="shared" si="13"/>
        <v>Medium</v>
      </c>
    </row>
    <row r="114" spans="1:17" x14ac:dyDescent="0.3">
      <c r="A114">
        <v>1113</v>
      </c>
      <c r="B114">
        <v>8</v>
      </c>
      <c r="C114">
        <v>8</v>
      </c>
      <c r="D114">
        <v>9</v>
      </c>
      <c r="E114">
        <v>5</v>
      </c>
      <c r="F114">
        <v>3</v>
      </c>
      <c r="G114">
        <v>4</v>
      </c>
      <c r="H114">
        <v>281</v>
      </c>
      <c r="I114">
        <v>1</v>
      </c>
      <c r="J114">
        <v>76</v>
      </c>
      <c r="K114">
        <f t="shared" si="7"/>
        <v>6.6</v>
      </c>
      <c r="L114">
        <f t="shared" si="8"/>
        <v>66</v>
      </c>
      <c r="M114">
        <f t="shared" si="9"/>
        <v>80</v>
      </c>
      <c r="N114">
        <f t="shared" si="10"/>
        <v>30</v>
      </c>
      <c r="O114">
        <f t="shared" si="11"/>
        <v>59</v>
      </c>
      <c r="P114" t="str">
        <f t="shared" si="12"/>
        <v>Placement Ready</v>
      </c>
      <c r="Q114" t="str">
        <f t="shared" si="13"/>
        <v>Medium</v>
      </c>
    </row>
    <row r="115" spans="1:17" x14ac:dyDescent="0.3">
      <c r="A115">
        <v>1114</v>
      </c>
      <c r="B115">
        <v>8</v>
      </c>
      <c r="C115">
        <v>9</v>
      </c>
      <c r="D115">
        <v>6</v>
      </c>
      <c r="E115">
        <v>3</v>
      </c>
      <c r="F115">
        <v>3</v>
      </c>
      <c r="G115">
        <v>0</v>
      </c>
      <c r="H115">
        <v>479</v>
      </c>
      <c r="I115">
        <v>5</v>
      </c>
      <c r="J115">
        <v>81</v>
      </c>
      <c r="K115">
        <f t="shared" si="7"/>
        <v>5.8</v>
      </c>
      <c r="L115">
        <f t="shared" si="8"/>
        <v>58</v>
      </c>
      <c r="M115">
        <f t="shared" si="9"/>
        <v>100</v>
      </c>
      <c r="N115">
        <f t="shared" si="10"/>
        <v>50</v>
      </c>
      <c r="O115">
        <f t="shared" si="11"/>
        <v>68</v>
      </c>
      <c r="P115" t="str">
        <f t="shared" si="12"/>
        <v>Placement Ready</v>
      </c>
      <c r="Q115" t="str">
        <f t="shared" si="13"/>
        <v>Medium</v>
      </c>
    </row>
    <row r="116" spans="1:17" x14ac:dyDescent="0.3">
      <c r="A116">
        <v>1115</v>
      </c>
      <c r="B116">
        <v>9</v>
      </c>
      <c r="C116">
        <v>1</v>
      </c>
      <c r="D116">
        <v>4</v>
      </c>
      <c r="E116">
        <v>3</v>
      </c>
      <c r="F116">
        <v>7</v>
      </c>
      <c r="G116">
        <v>4</v>
      </c>
      <c r="H116">
        <v>323</v>
      </c>
      <c r="I116">
        <v>0</v>
      </c>
      <c r="J116">
        <v>59</v>
      </c>
      <c r="K116">
        <f t="shared" si="7"/>
        <v>4.8</v>
      </c>
      <c r="L116">
        <f t="shared" si="8"/>
        <v>48</v>
      </c>
      <c r="M116">
        <f t="shared" si="9"/>
        <v>80</v>
      </c>
      <c r="N116">
        <f t="shared" si="10"/>
        <v>20</v>
      </c>
      <c r="O116">
        <f t="shared" si="11"/>
        <v>49</v>
      </c>
      <c r="P116" t="str">
        <f t="shared" si="12"/>
        <v>Needs Improvement</v>
      </c>
      <c r="Q116" t="str">
        <f t="shared" si="13"/>
        <v>Medium</v>
      </c>
    </row>
    <row r="117" spans="1:17" x14ac:dyDescent="0.3">
      <c r="A117">
        <v>1116</v>
      </c>
      <c r="B117">
        <v>3</v>
      </c>
      <c r="C117">
        <v>6</v>
      </c>
      <c r="D117">
        <v>9</v>
      </c>
      <c r="E117">
        <v>9</v>
      </c>
      <c r="F117">
        <v>7</v>
      </c>
      <c r="G117">
        <v>2</v>
      </c>
      <c r="H117">
        <v>409</v>
      </c>
      <c r="I117">
        <v>3</v>
      </c>
      <c r="J117">
        <v>55</v>
      </c>
      <c r="K117">
        <f t="shared" si="7"/>
        <v>6.8</v>
      </c>
      <c r="L117">
        <f t="shared" si="8"/>
        <v>68</v>
      </c>
      <c r="M117">
        <f t="shared" si="9"/>
        <v>100</v>
      </c>
      <c r="N117">
        <f t="shared" si="10"/>
        <v>40</v>
      </c>
      <c r="O117">
        <f t="shared" si="11"/>
        <v>69</v>
      </c>
      <c r="P117" t="str">
        <f t="shared" si="12"/>
        <v>Needs Improvement</v>
      </c>
      <c r="Q117" t="str">
        <f t="shared" si="13"/>
        <v>Medium</v>
      </c>
    </row>
    <row r="118" spans="1:17" x14ac:dyDescent="0.3">
      <c r="A118">
        <v>1117</v>
      </c>
      <c r="B118">
        <v>6</v>
      </c>
      <c r="C118">
        <v>10</v>
      </c>
      <c r="D118">
        <v>10</v>
      </c>
      <c r="E118">
        <v>7</v>
      </c>
      <c r="F118">
        <v>2</v>
      </c>
      <c r="G118">
        <v>8</v>
      </c>
      <c r="H118">
        <v>284</v>
      </c>
      <c r="I118">
        <v>3</v>
      </c>
      <c r="J118">
        <v>42</v>
      </c>
      <c r="K118">
        <f t="shared" si="7"/>
        <v>7</v>
      </c>
      <c r="L118">
        <f t="shared" si="8"/>
        <v>70</v>
      </c>
      <c r="M118">
        <f t="shared" si="9"/>
        <v>80</v>
      </c>
      <c r="N118">
        <f t="shared" si="10"/>
        <v>70</v>
      </c>
      <c r="O118">
        <f t="shared" si="11"/>
        <v>73</v>
      </c>
      <c r="P118" t="str">
        <f t="shared" si="12"/>
        <v>Not Ready</v>
      </c>
      <c r="Q118" t="str">
        <f t="shared" si="13"/>
        <v>High</v>
      </c>
    </row>
    <row r="119" spans="1:17" x14ac:dyDescent="0.3">
      <c r="A119">
        <v>1118</v>
      </c>
      <c r="B119">
        <v>6</v>
      </c>
      <c r="C119">
        <v>7</v>
      </c>
      <c r="D119">
        <v>10</v>
      </c>
      <c r="E119">
        <v>2</v>
      </c>
      <c r="F119">
        <v>5</v>
      </c>
      <c r="G119">
        <v>8</v>
      </c>
      <c r="H119">
        <v>367</v>
      </c>
      <c r="I119">
        <v>0</v>
      </c>
      <c r="J119">
        <v>67</v>
      </c>
      <c r="K119">
        <f t="shared" si="7"/>
        <v>6</v>
      </c>
      <c r="L119">
        <f t="shared" si="8"/>
        <v>60</v>
      </c>
      <c r="M119">
        <f t="shared" si="9"/>
        <v>80</v>
      </c>
      <c r="N119">
        <f t="shared" si="10"/>
        <v>40</v>
      </c>
      <c r="O119">
        <f t="shared" si="11"/>
        <v>60</v>
      </c>
      <c r="P119" t="str">
        <f t="shared" si="12"/>
        <v>Needs Improvement</v>
      </c>
      <c r="Q119" t="str">
        <f t="shared" si="13"/>
        <v>Medium</v>
      </c>
    </row>
    <row r="120" spans="1:17" x14ac:dyDescent="0.3">
      <c r="A120">
        <v>1119</v>
      </c>
      <c r="B120">
        <v>5</v>
      </c>
      <c r="C120">
        <v>10</v>
      </c>
      <c r="D120">
        <v>8</v>
      </c>
      <c r="E120">
        <v>9</v>
      </c>
      <c r="F120">
        <v>4</v>
      </c>
      <c r="G120">
        <v>4</v>
      </c>
      <c r="H120">
        <v>351</v>
      </c>
      <c r="I120">
        <v>1</v>
      </c>
      <c r="J120">
        <v>51</v>
      </c>
      <c r="K120">
        <f t="shared" si="7"/>
        <v>7.2</v>
      </c>
      <c r="L120">
        <f t="shared" si="8"/>
        <v>72</v>
      </c>
      <c r="M120">
        <f t="shared" si="9"/>
        <v>80</v>
      </c>
      <c r="N120">
        <f t="shared" si="10"/>
        <v>30</v>
      </c>
      <c r="O120">
        <f t="shared" si="11"/>
        <v>62</v>
      </c>
      <c r="P120" t="str">
        <f t="shared" si="12"/>
        <v>Needs Improvement</v>
      </c>
      <c r="Q120" t="str">
        <f t="shared" si="13"/>
        <v>Medium</v>
      </c>
    </row>
    <row r="121" spans="1:17" x14ac:dyDescent="0.3">
      <c r="A121">
        <v>1120</v>
      </c>
      <c r="B121">
        <v>4</v>
      </c>
      <c r="C121">
        <v>6</v>
      </c>
      <c r="D121">
        <v>5</v>
      </c>
      <c r="E121">
        <v>4</v>
      </c>
      <c r="F121">
        <v>4</v>
      </c>
      <c r="G121">
        <v>7</v>
      </c>
      <c r="H121">
        <v>281</v>
      </c>
      <c r="I121">
        <v>0</v>
      </c>
      <c r="J121">
        <v>43</v>
      </c>
      <c r="K121">
        <f t="shared" si="7"/>
        <v>4.5999999999999996</v>
      </c>
      <c r="L121">
        <f t="shared" si="8"/>
        <v>46</v>
      </c>
      <c r="M121">
        <f t="shared" si="9"/>
        <v>80</v>
      </c>
      <c r="N121">
        <f t="shared" si="10"/>
        <v>35</v>
      </c>
      <c r="O121">
        <f t="shared" si="11"/>
        <v>53</v>
      </c>
      <c r="P121" t="str">
        <f t="shared" si="12"/>
        <v>Not Ready</v>
      </c>
      <c r="Q121" t="str">
        <f t="shared" si="13"/>
        <v>Medium</v>
      </c>
    </row>
    <row r="122" spans="1:17" x14ac:dyDescent="0.3">
      <c r="A122">
        <v>1121</v>
      </c>
      <c r="B122">
        <v>6</v>
      </c>
      <c r="C122">
        <v>10</v>
      </c>
      <c r="D122">
        <v>9</v>
      </c>
      <c r="E122">
        <v>9</v>
      </c>
      <c r="F122">
        <v>1</v>
      </c>
      <c r="G122">
        <v>7</v>
      </c>
      <c r="H122">
        <v>185</v>
      </c>
      <c r="I122">
        <v>1</v>
      </c>
      <c r="J122">
        <v>53</v>
      </c>
      <c r="K122">
        <f t="shared" si="7"/>
        <v>7</v>
      </c>
      <c r="L122">
        <f t="shared" si="8"/>
        <v>70</v>
      </c>
      <c r="M122">
        <f t="shared" si="9"/>
        <v>60</v>
      </c>
      <c r="N122">
        <f t="shared" si="10"/>
        <v>45</v>
      </c>
      <c r="O122">
        <f t="shared" si="11"/>
        <v>60</v>
      </c>
      <c r="P122" t="str">
        <f t="shared" si="12"/>
        <v>Needs Improvement</v>
      </c>
      <c r="Q122" t="str">
        <f t="shared" si="13"/>
        <v>Medium</v>
      </c>
    </row>
    <row r="123" spans="1:17" x14ac:dyDescent="0.3">
      <c r="A123">
        <v>1122</v>
      </c>
      <c r="B123">
        <v>8</v>
      </c>
      <c r="C123">
        <v>7</v>
      </c>
      <c r="D123">
        <v>1</v>
      </c>
      <c r="E123">
        <v>1</v>
      </c>
      <c r="F123">
        <v>9</v>
      </c>
      <c r="G123">
        <v>2</v>
      </c>
      <c r="H123">
        <v>83</v>
      </c>
      <c r="I123">
        <v>1</v>
      </c>
      <c r="J123">
        <v>64</v>
      </c>
      <c r="K123">
        <f t="shared" si="7"/>
        <v>5.2</v>
      </c>
      <c r="L123">
        <f t="shared" si="8"/>
        <v>52</v>
      </c>
      <c r="M123">
        <f t="shared" si="9"/>
        <v>40</v>
      </c>
      <c r="N123">
        <f t="shared" si="10"/>
        <v>20</v>
      </c>
      <c r="O123">
        <f t="shared" si="11"/>
        <v>39</v>
      </c>
      <c r="P123" t="str">
        <f t="shared" si="12"/>
        <v>Needs Improvement</v>
      </c>
      <c r="Q123" t="str">
        <f t="shared" si="13"/>
        <v>Low</v>
      </c>
    </row>
    <row r="124" spans="1:17" x14ac:dyDescent="0.3">
      <c r="A124">
        <v>1123</v>
      </c>
      <c r="B124">
        <v>4</v>
      </c>
      <c r="C124">
        <v>3</v>
      </c>
      <c r="D124">
        <v>5</v>
      </c>
      <c r="E124">
        <v>3</v>
      </c>
      <c r="F124">
        <v>9</v>
      </c>
      <c r="G124">
        <v>4</v>
      </c>
      <c r="H124">
        <v>306</v>
      </c>
      <c r="I124">
        <v>3</v>
      </c>
      <c r="J124">
        <v>95</v>
      </c>
      <c r="K124">
        <f t="shared" si="7"/>
        <v>4.8</v>
      </c>
      <c r="L124">
        <f t="shared" si="8"/>
        <v>48</v>
      </c>
      <c r="M124">
        <f t="shared" si="9"/>
        <v>80</v>
      </c>
      <c r="N124">
        <f t="shared" si="10"/>
        <v>50</v>
      </c>
      <c r="O124">
        <f t="shared" si="11"/>
        <v>58</v>
      </c>
      <c r="P124" t="str">
        <f t="shared" si="12"/>
        <v>Placement Ready</v>
      </c>
      <c r="Q124" t="str">
        <f t="shared" si="13"/>
        <v>Medium</v>
      </c>
    </row>
    <row r="125" spans="1:17" x14ac:dyDescent="0.3">
      <c r="A125">
        <v>1124</v>
      </c>
      <c r="B125">
        <v>9</v>
      </c>
      <c r="C125">
        <v>1</v>
      </c>
      <c r="D125">
        <v>4</v>
      </c>
      <c r="E125">
        <v>6</v>
      </c>
      <c r="F125">
        <v>5</v>
      </c>
      <c r="G125">
        <v>7</v>
      </c>
      <c r="H125">
        <v>296</v>
      </c>
      <c r="I125">
        <v>2</v>
      </c>
      <c r="J125">
        <v>40</v>
      </c>
      <c r="K125">
        <f t="shared" si="7"/>
        <v>5</v>
      </c>
      <c r="L125">
        <f t="shared" si="8"/>
        <v>50</v>
      </c>
      <c r="M125">
        <f t="shared" si="9"/>
        <v>80</v>
      </c>
      <c r="N125">
        <f t="shared" si="10"/>
        <v>55</v>
      </c>
      <c r="O125">
        <f t="shared" si="11"/>
        <v>61</v>
      </c>
      <c r="P125" t="str">
        <f t="shared" si="12"/>
        <v>Not Ready</v>
      </c>
      <c r="Q125" t="str">
        <f t="shared" si="13"/>
        <v>Medium</v>
      </c>
    </row>
    <row r="126" spans="1:17" x14ac:dyDescent="0.3">
      <c r="A126">
        <v>1125</v>
      </c>
      <c r="B126">
        <v>2</v>
      </c>
      <c r="C126">
        <v>7</v>
      </c>
      <c r="D126">
        <v>8</v>
      </c>
      <c r="E126">
        <v>9</v>
      </c>
      <c r="F126">
        <v>8</v>
      </c>
      <c r="G126">
        <v>0</v>
      </c>
      <c r="H126">
        <v>136</v>
      </c>
      <c r="I126">
        <v>0</v>
      </c>
      <c r="J126">
        <v>52</v>
      </c>
      <c r="K126">
        <f t="shared" si="7"/>
        <v>6.8</v>
      </c>
      <c r="L126">
        <f t="shared" si="8"/>
        <v>68</v>
      </c>
      <c r="M126">
        <f t="shared" si="9"/>
        <v>40</v>
      </c>
      <c r="N126">
        <f t="shared" si="10"/>
        <v>0</v>
      </c>
      <c r="O126">
        <f t="shared" si="11"/>
        <v>39</v>
      </c>
      <c r="P126" t="str">
        <f t="shared" si="12"/>
        <v>Needs Improvement</v>
      </c>
      <c r="Q126" t="str">
        <f t="shared" si="13"/>
        <v>Low</v>
      </c>
    </row>
    <row r="127" spans="1:17" x14ac:dyDescent="0.3">
      <c r="A127">
        <v>1126</v>
      </c>
      <c r="B127">
        <v>2</v>
      </c>
      <c r="C127">
        <v>7</v>
      </c>
      <c r="D127">
        <v>8</v>
      </c>
      <c r="E127">
        <v>5</v>
      </c>
      <c r="F127">
        <v>1</v>
      </c>
      <c r="G127">
        <v>2</v>
      </c>
      <c r="H127">
        <v>474</v>
      </c>
      <c r="I127">
        <v>0</v>
      </c>
      <c r="J127">
        <v>88</v>
      </c>
      <c r="K127">
        <f t="shared" si="7"/>
        <v>4.5999999999999996</v>
      </c>
      <c r="L127">
        <f t="shared" si="8"/>
        <v>46</v>
      </c>
      <c r="M127">
        <f t="shared" si="9"/>
        <v>100</v>
      </c>
      <c r="N127">
        <f t="shared" si="10"/>
        <v>10</v>
      </c>
      <c r="O127">
        <f t="shared" si="11"/>
        <v>51</v>
      </c>
      <c r="P127" t="str">
        <f t="shared" si="12"/>
        <v>Placement Ready</v>
      </c>
      <c r="Q127" t="str">
        <f t="shared" si="13"/>
        <v>Medium</v>
      </c>
    </row>
    <row r="128" spans="1:17" x14ac:dyDescent="0.3">
      <c r="A128">
        <v>1127</v>
      </c>
      <c r="B128">
        <v>5</v>
      </c>
      <c r="C128">
        <v>9</v>
      </c>
      <c r="D128">
        <v>6</v>
      </c>
      <c r="E128">
        <v>10</v>
      </c>
      <c r="F128">
        <v>3</v>
      </c>
      <c r="G128">
        <v>2</v>
      </c>
      <c r="H128">
        <v>255</v>
      </c>
      <c r="I128">
        <v>3</v>
      </c>
      <c r="J128">
        <v>81</v>
      </c>
      <c r="K128">
        <f t="shared" si="7"/>
        <v>6.6</v>
      </c>
      <c r="L128">
        <f t="shared" si="8"/>
        <v>66</v>
      </c>
      <c r="M128">
        <f t="shared" si="9"/>
        <v>80</v>
      </c>
      <c r="N128">
        <f t="shared" si="10"/>
        <v>40</v>
      </c>
      <c r="O128">
        <f t="shared" si="11"/>
        <v>62</v>
      </c>
      <c r="P128" t="str">
        <f t="shared" si="12"/>
        <v>Placement Ready</v>
      </c>
      <c r="Q128" t="str">
        <f t="shared" si="13"/>
        <v>Medium</v>
      </c>
    </row>
    <row r="129" spans="1:17" x14ac:dyDescent="0.3">
      <c r="A129">
        <v>1128</v>
      </c>
      <c r="B129">
        <v>1</v>
      </c>
      <c r="C129">
        <v>3</v>
      </c>
      <c r="D129">
        <v>7</v>
      </c>
      <c r="E129">
        <v>9</v>
      </c>
      <c r="F129">
        <v>6</v>
      </c>
      <c r="G129">
        <v>1</v>
      </c>
      <c r="H129">
        <v>446</v>
      </c>
      <c r="I129">
        <v>3</v>
      </c>
      <c r="J129">
        <v>61</v>
      </c>
      <c r="K129">
        <f t="shared" si="7"/>
        <v>5.2</v>
      </c>
      <c r="L129">
        <f t="shared" si="8"/>
        <v>52</v>
      </c>
      <c r="M129">
        <f t="shared" si="9"/>
        <v>100</v>
      </c>
      <c r="N129">
        <f t="shared" si="10"/>
        <v>35</v>
      </c>
      <c r="O129">
        <f t="shared" si="11"/>
        <v>61</v>
      </c>
      <c r="P129" t="str">
        <f t="shared" si="12"/>
        <v>Needs Improvement</v>
      </c>
      <c r="Q129" t="str">
        <f t="shared" si="13"/>
        <v>Medium</v>
      </c>
    </row>
    <row r="130" spans="1:17" x14ac:dyDescent="0.3">
      <c r="A130">
        <v>1129</v>
      </c>
      <c r="B130">
        <v>8</v>
      </c>
      <c r="C130">
        <v>8</v>
      </c>
      <c r="D130">
        <v>1</v>
      </c>
      <c r="E130">
        <v>4</v>
      </c>
      <c r="F130">
        <v>1</v>
      </c>
      <c r="G130">
        <v>7</v>
      </c>
      <c r="H130">
        <v>277</v>
      </c>
      <c r="I130">
        <v>3</v>
      </c>
      <c r="J130">
        <v>75</v>
      </c>
      <c r="K130">
        <f t="shared" si="7"/>
        <v>4.4000000000000004</v>
      </c>
      <c r="L130">
        <f t="shared" si="8"/>
        <v>44</v>
      </c>
      <c r="M130">
        <f t="shared" si="9"/>
        <v>80</v>
      </c>
      <c r="N130">
        <f t="shared" si="10"/>
        <v>65</v>
      </c>
      <c r="O130">
        <f t="shared" si="11"/>
        <v>61</v>
      </c>
      <c r="P130" t="str">
        <f t="shared" si="12"/>
        <v>Placement Ready</v>
      </c>
      <c r="Q130" t="str">
        <f t="shared" si="13"/>
        <v>Medium</v>
      </c>
    </row>
    <row r="131" spans="1:17" x14ac:dyDescent="0.3">
      <c r="A131">
        <v>1130</v>
      </c>
      <c r="B131">
        <v>5</v>
      </c>
      <c r="C131">
        <v>6</v>
      </c>
      <c r="D131">
        <v>2</v>
      </c>
      <c r="E131">
        <v>5</v>
      </c>
      <c r="F131">
        <v>6</v>
      </c>
      <c r="G131">
        <v>2</v>
      </c>
      <c r="H131">
        <v>124</v>
      </c>
      <c r="I131">
        <v>4</v>
      </c>
      <c r="J131">
        <v>44</v>
      </c>
      <c r="K131">
        <f t="shared" ref="K131:K194" si="14">AVERAGE(B131:F131)</f>
        <v>4.8</v>
      </c>
      <c r="L131">
        <f t="shared" ref="L131:L194" si="15">K131*10</f>
        <v>48</v>
      </c>
      <c r="M131">
        <f t="shared" ref="M131:M194" si="16">IF(H131&gt;=400,100,IF(H131&gt;=250,80,IF(H131&gt;=150,60,40)))</f>
        <v>40</v>
      </c>
      <c r="N131">
        <f t="shared" ref="N131:N194" si="17">(G131*5)+(I131*10)</f>
        <v>50</v>
      </c>
      <c r="O131">
        <f t="shared" ref="O131:O194" si="18">ROUND((L131*0.4)+(M131*0.3)+(N131*0.3),0)</f>
        <v>46</v>
      </c>
      <c r="P131" t="str">
        <f t="shared" ref="P131:P194" si="19">IF(J131&gt;=75,"Placement Ready",IF(J131&gt;=50,"Needs Improvement","Not Ready"))</f>
        <v>Not Ready</v>
      </c>
      <c r="Q131" t="str">
        <f t="shared" ref="Q131:Q194" si="20">IF(O131&lt;40,"Low",IF(O131&lt;=70,"Medium","High"))</f>
        <v>Medium</v>
      </c>
    </row>
    <row r="132" spans="1:17" x14ac:dyDescent="0.3">
      <c r="A132">
        <v>1131</v>
      </c>
      <c r="B132">
        <v>9</v>
      </c>
      <c r="C132">
        <v>7</v>
      </c>
      <c r="D132">
        <v>8</v>
      </c>
      <c r="E132">
        <v>6</v>
      </c>
      <c r="F132">
        <v>2</v>
      </c>
      <c r="G132">
        <v>4</v>
      </c>
      <c r="H132">
        <v>410</v>
      </c>
      <c r="I132">
        <v>2</v>
      </c>
      <c r="J132">
        <v>46</v>
      </c>
      <c r="K132">
        <f t="shared" si="14"/>
        <v>6.4</v>
      </c>
      <c r="L132">
        <f t="shared" si="15"/>
        <v>64</v>
      </c>
      <c r="M132">
        <f t="shared" si="16"/>
        <v>100</v>
      </c>
      <c r="N132">
        <f t="shared" si="17"/>
        <v>40</v>
      </c>
      <c r="O132">
        <f t="shared" si="18"/>
        <v>68</v>
      </c>
      <c r="P132" t="str">
        <f t="shared" si="19"/>
        <v>Not Ready</v>
      </c>
      <c r="Q132" t="str">
        <f t="shared" si="20"/>
        <v>Medium</v>
      </c>
    </row>
    <row r="133" spans="1:17" x14ac:dyDescent="0.3">
      <c r="A133">
        <v>1132</v>
      </c>
      <c r="B133">
        <v>3</v>
      </c>
      <c r="C133">
        <v>4</v>
      </c>
      <c r="D133">
        <v>7</v>
      </c>
      <c r="E133">
        <v>9</v>
      </c>
      <c r="F133">
        <v>8</v>
      </c>
      <c r="G133">
        <v>8</v>
      </c>
      <c r="H133">
        <v>188</v>
      </c>
      <c r="I133">
        <v>4</v>
      </c>
      <c r="J133">
        <v>51</v>
      </c>
      <c r="K133">
        <f t="shared" si="14"/>
        <v>6.2</v>
      </c>
      <c r="L133">
        <f t="shared" si="15"/>
        <v>62</v>
      </c>
      <c r="M133">
        <f t="shared" si="16"/>
        <v>60</v>
      </c>
      <c r="N133">
        <f t="shared" si="17"/>
        <v>80</v>
      </c>
      <c r="O133">
        <f t="shared" si="18"/>
        <v>67</v>
      </c>
      <c r="P133" t="str">
        <f t="shared" si="19"/>
        <v>Needs Improvement</v>
      </c>
      <c r="Q133" t="str">
        <f t="shared" si="20"/>
        <v>Medium</v>
      </c>
    </row>
    <row r="134" spans="1:17" x14ac:dyDescent="0.3">
      <c r="A134">
        <v>1133</v>
      </c>
      <c r="B134">
        <v>6</v>
      </c>
      <c r="C134">
        <v>6</v>
      </c>
      <c r="D134">
        <v>10</v>
      </c>
      <c r="E134">
        <v>8</v>
      </c>
      <c r="F134">
        <v>9</v>
      </c>
      <c r="G134">
        <v>7</v>
      </c>
      <c r="H134">
        <v>470</v>
      </c>
      <c r="I134">
        <v>1</v>
      </c>
      <c r="J134">
        <v>60</v>
      </c>
      <c r="K134">
        <f t="shared" si="14"/>
        <v>7.8</v>
      </c>
      <c r="L134">
        <f t="shared" si="15"/>
        <v>78</v>
      </c>
      <c r="M134">
        <f t="shared" si="16"/>
        <v>100</v>
      </c>
      <c r="N134">
        <f t="shared" si="17"/>
        <v>45</v>
      </c>
      <c r="O134">
        <f t="shared" si="18"/>
        <v>75</v>
      </c>
      <c r="P134" t="str">
        <f t="shared" si="19"/>
        <v>Needs Improvement</v>
      </c>
      <c r="Q134" t="str">
        <f t="shared" si="20"/>
        <v>High</v>
      </c>
    </row>
    <row r="135" spans="1:17" x14ac:dyDescent="0.3">
      <c r="A135">
        <v>1134</v>
      </c>
      <c r="B135">
        <v>4</v>
      </c>
      <c r="C135">
        <v>5</v>
      </c>
      <c r="D135">
        <v>8</v>
      </c>
      <c r="E135">
        <v>10</v>
      </c>
      <c r="F135">
        <v>8</v>
      </c>
      <c r="G135">
        <v>5</v>
      </c>
      <c r="H135">
        <v>316</v>
      </c>
      <c r="I135">
        <v>5</v>
      </c>
      <c r="J135">
        <v>79</v>
      </c>
      <c r="K135">
        <f t="shared" si="14"/>
        <v>7</v>
      </c>
      <c r="L135">
        <f t="shared" si="15"/>
        <v>70</v>
      </c>
      <c r="M135">
        <f t="shared" si="16"/>
        <v>80</v>
      </c>
      <c r="N135">
        <f t="shared" si="17"/>
        <v>75</v>
      </c>
      <c r="O135">
        <f t="shared" si="18"/>
        <v>75</v>
      </c>
      <c r="P135" t="str">
        <f t="shared" si="19"/>
        <v>Placement Ready</v>
      </c>
      <c r="Q135" t="str">
        <f t="shared" si="20"/>
        <v>High</v>
      </c>
    </row>
    <row r="136" spans="1:17" x14ac:dyDescent="0.3">
      <c r="A136">
        <v>1135</v>
      </c>
      <c r="B136">
        <v>4</v>
      </c>
      <c r="C136">
        <v>3</v>
      </c>
      <c r="D136">
        <v>5</v>
      </c>
      <c r="E136">
        <v>2</v>
      </c>
      <c r="F136">
        <v>8</v>
      </c>
      <c r="G136">
        <v>3</v>
      </c>
      <c r="H136">
        <v>457</v>
      </c>
      <c r="I136">
        <v>5</v>
      </c>
      <c r="J136">
        <v>65</v>
      </c>
      <c r="K136">
        <f t="shared" si="14"/>
        <v>4.4000000000000004</v>
      </c>
      <c r="L136">
        <f t="shared" si="15"/>
        <v>44</v>
      </c>
      <c r="M136">
        <f t="shared" si="16"/>
        <v>100</v>
      </c>
      <c r="N136">
        <f t="shared" si="17"/>
        <v>65</v>
      </c>
      <c r="O136">
        <f t="shared" si="18"/>
        <v>67</v>
      </c>
      <c r="P136" t="str">
        <f t="shared" si="19"/>
        <v>Needs Improvement</v>
      </c>
      <c r="Q136" t="str">
        <f t="shared" si="20"/>
        <v>Medium</v>
      </c>
    </row>
    <row r="137" spans="1:17" x14ac:dyDescent="0.3">
      <c r="A137">
        <v>1136</v>
      </c>
      <c r="B137">
        <v>1</v>
      </c>
      <c r="C137">
        <v>5</v>
      </c>
      <c r="D137">
        <v>1</v>
      </c>
      <c r="E137">
        <v>4</v>
      </c>
      <c r="F137">
        <v>4</v>
      </c>
      <c r="G137">
        <v>5</v>
      </c>
      <c r="H137">
        <v>426</v>
      </c>
      <c r="I137">
        <v>2</v>
      </c>
      <c r="J137">
        <v>66</v>
      </c>
      <c r="K137">
        <f t="shared" si="14"/>
        <v>3</v>
      </c>
      <c r="L137">
        <f t="shared" si="15"/>
        <v>30</v>
      </c>
      <c r="M137">
        <f t="shared" si="16"/>
        <v>100</v>
      </c>
      <c r="N137">
        <f t="shared" si="17"/>
        <v>45</v>
      </c>
      <c r="O137">
        <f t="shared" si="18"/>
        <v>56</v>
      </c>
      <c r="P137" t="str">
        <f t="shared" si="19"/>
        <v>Needs Improvement</v>
      </c>
      <c r="Q137" t="str">
        <f t="shared" si="20"/>
        <v>Medium</v>
      </c>
    </row>
    <row r="138" spans="1:17" x14ac:dyDescent="0.3">
      <c r="A138">
        <v>1137</v>
      </c>
      <c r="B138">
        <v>4</v>
      </c>
      <c r="C138">
        <v>3</v>
      </c>
      <c r="D138">
        <v>2</v>
      </c>
      <c r="E138">
        <v>7</v>
      </c>
      <c r="F138">
        <v>2</v>
      </c>
      <c r="G138">
        <v>3</v>
      </c>
      <c r="H138">
        <v>178</v>
      </c>
      <c r="I138">
        <v>1</v>
      </c>
      <c r="J138">
        <v>71</v>
      </c>
      <c r="K138">
        <f t="shared" si="14"/>
        <v>3.6</v>
      </c>
      <c r="L138">
        <f t="shared" si="15"/>
        <v>36</v>
      </c>
      <c r="M138">
        <f t="shared" si="16"/>
        <v>60</v>
      </c>
      <c r="N138">
        <f t="shared" si="17"/>
        <v>25</v>
      </c>
      <c r="O138">
        <f t="shared" si="18"/>
        <v>40</v>
      </c>
      <c r="P138" t="str">
        <f t="shared" si="19"/>
        <v>Needs Improvement</v>
      </c>
      <c r="Q138" t="str">
        <f t="shared" si="20"/>
        <v>Medium</v>
      </c>
    </row>
    <row r="139" spans="1:17" x14ac:dyDescent="0.3">
      <c r="A139">
        <v>1138</v>
      </c>
      <c r="B139">
        <v>4</v>
      </c>
      <c r="C139">
        <v>8</v>
      </c>
      <c r="D139">
        <v>3</v>
      </c>
      <c r="E139">
        <v>8</v>
      </c>
      <c r="F139">
        <v>7</v>
      </c>
      <c r="G139">
        <v>5</v>
      </c>
      <c r="H139">
        <v>264</v>
      </c>
      <c r="I139">
        <v>1</v>
      </c>
      <c r="J139">
        <v>73</v>
      </c>
      <c r="K139">
        <f t="shared" si="14"/>
        <v>6</v>
      </c>
      <c r="L139">
        <f t="shared" si="15"/>
        <v>60</v>
      </c>
      <c r="M139">
        <f t="shared" si="16"/>
        <v>80</v>
      </c>
      <c r="N139">
        <f t="shared" si="17"/>
        <v>35</v>
      </c>
      <c r="O139">
        <f t="shared" si="18"/>
        <v>59</v>
      </c>
      <c r="P139" t="str">
        <f t="shared" si="19"/>
        <v>Needs Improvement</v>
      </c>
      <c r="Q139" t="str">
        <f t="shared" si="20"/>
        <v>Medium</v>
      </c>
    </row>
    <row r="140" spans="1:17" x14ac:dyDescent="0.3">
      <c r="A140">
        <v>1139</v>
      </c>
      <c r="B140">
        <v>2</v>
      </c>
      <c r="C140">
        <v>7</v>
      </c>
      <c r="D140">
        <v>5</v>
      </c>
      <c r="E140">
        <v>8</v>
      </c>
      <c r="F140">
        <v>3</v>
      </c>
      <c r="G140">
        <v>4</v>
      </c>
      <c r="H140">
        <v>458</v>
      </c>
      <c r="I140">
        <v>0</v>
      </c>
      <c r="J140">
        <v>49</v>
      </c>
      <c r="K140">
        <f t="shared" si="14"/>
        <v>5</v>
      </c>
      <c r="L140">
        <f t="shared" si="15"/>
        <v>50</v>
      </c>
      <c r="M140">
        <f t="shared" si="16"/>
        <v>100</v>
      </c>
      <c r="N140">
        <f t="shared" si="17"/>
        <v>20</v>
      </c>
      <c r="O140">
        <f t="shared" si="18"/>
        <v>56</v>
      </c>
      <c r="P140" t="str">
        <f t="shared" si="19"/>
        <v>Not Ready</v>
      </c>
      <c r="Q140" t="str">
        <f t="shared" si="20"/>
        <v>Medium</v>
      </c>
    </row>
    <row r="141" spans="1:17" x14ac:dyDescent="0.3">
      <c r="A141">
        <v>1140</v>
      </c>
      <c r="B141">
        <v>7</v>
      </c>
      <c r="C141">
        <v>6</v>
      </c>
      <c r="D141">
        <v>8</v>
      </c>
      <c r="E141">
        <v>5</v>
      </c>
      <c r="F141">
        <v>5</v>
      </c>
      <c r="G141">
        <v>2</v>
      </c>
      <c r="H141">
        <v>442</v>
      </c>
      <c r="I141">
        <v>2</v>
      </c>
      <c r="J141">
        <v>49</v>
      </c>
      <c r="K141">
        <f t="shared" si="14"/>
        <v>6.2</v>
      </c>
      <c r="L141">
        <f t="shared" si="15"/>
        <v>62</v>
      </c>
      <c r="M141">
        <f t="shared" si="16"/>
        <v>100</v>
      </c>
      <c r="N141">
        <f t="shared" si="17"/>
        <v>30</v>
      </c>
      <c r="O141">
        <f t="shared" si="18"/>
        <v>64</v>
      </c>
      <c r="P141" t="str">
        <f t="shared" si="19"/>
        <v>Not Ready</v>
      </c>
      <c r="Q141" t="str">
        <f t="shared" si="20"/>
        <v>Medium</v>
      </c>
    </row>
    <row r="142" spans="1:17" x14ac:dyDescent="0.3">
      <c r="A142">
        <v>1141</v>
      </c>
      <c r="B142">
        <v>1</v>
      </c>
      <c r="C142">
        <v>10</v>
      </c>
      <c r="D142">
        <v>4</v>
      </c>
      <c r="E142">
        <v>4</v>
      </c>
      <c r="F142">
        <v>4</v>
      </c>
      <c r="G142">
        <v>6</v>
      </c>
      <c r="H142">
        <v>382</v>
      </c>
      <c r="I142">
        <v>4</v>
      </c>
      <c r="J142">
        <v>68</v>
      </c>
      <c r="K142">
        <f t="shared" si="14"/>
        <v>4.5999999999999996</v>
      </c>
      <c r="L142">
        <f t="shared" si="15"/>
        <v>46</v>
      </c>
      <c r="M142">
        <f t="shared" si="16"/>
        <v>80</v>
      </c>
      <c r="N142">
        <f t="shared" si="17"/>
        <v>70</v>
      </c>
      <c r="O142">
        <f t="shared" si="18"/>
        <v>63</v>
      </c>
      <c r="P142" t="str">
        <f t="shared" si="19"/>
        <v>Needs Improvement</v>
      </c>
      <c r="Q142" t="str">
        <f t="shared" si="20"/>
        <v>Medium</v>
      </c>
    </row>
    <row r="143" spans="1:17" x14ac:dyDescent="0.3">
      <c r="A143">
        <v>1142</v>
      </c>
      <c r="B143">
        <v>9</v>
      </c>
      <c r="C143">
        <v>8</v>
      </c>
      <c r="D143">
        <v>6</v>
      </c>
      <c r="E143">
        <v>2</v>
      </c>
      <c r="F143">
        <v>3</v>
      </c>
      <c r="G143">
        <v>2</v>
      </c>
      <c r="H143">
        <v>163</v>
      </c>
      <c r="I143">
        <v>1</v>
      </c>
      <c r="J143">
        <v>40</v>
      </c>
      <c r="K143">
        <f t="shared" si="14"/>
        <v>5.6</v>
      </c>
      <c r="L143">
        <f t="shared" si="15"/>
        <v>56</v>
      </c>
      <c r="M143">
        <f t="shared" si="16"/>
        <v>60</v>
      </c>
      <c r="N143">
        <f t="shared" si="17"/>
        <v>20</v>
      </c>
      <c r="O143">
        <f t="shared" si="18"/>
        <v>46</v>
      </c>
      <c r="P143" t="str">
        <f t="shared" si="19"/>
        <v>Not Ready</v>
      </c>
      <c r="Q143" t="str">
        <f t="shared" si="20"/>
        <v>Medium</v>
      </c>
    </row>
    <row r="144" spans="1:17" x14ac:dyDescent="0.3">
      <c r="A144">
        <v>1143</v>
      </c>
      <c r="B144">
        <v>7</v>
      </c>
      <c r="C144">
        <v>1</v>
      </c>
      <c r="D144">
        <v>8</v>
      </c>
      <c r="E144">
        <v>2</v>
      </c>
      <c r="F144">
        <v>1</v>
      </c>
      <c r="G144">
        <v>7</v>
      </c>
      <c r="H144">
        <v>233</v>
      </c>
      <c r="I144">
        <v>5</v>
      </c>
      <c r="J144">
        <v>92</v>
      </c>
      <c r="K144">
        <f t="shared" si="14"/>
        <v>3.8</v>
      </c>
      <c r="L144">
        <f t="shared" si="15"/>
        <v>38</v>
      </c>
      <c r="M144">
        <f t="shared" si="16"/>
        <v>60</v>
      </c>
      <c r="N144">
        <f t="shared" si="17"/>
        <v>85</v>
      </c>
      <c r="O144">
        <f t="shared" si="18"/>
        <v>59</v>
      </c>
      <c r="P144" t="str">
        <f t="shared" si="19"/>
        <v>Placement Ready</v>
      </c>
      <c r="Q144" t="str">
        <f t="shared" si="20"/>
        <v>Medium</v>
      </c>
    </row>
    <row r="145" spans="1:17" x14ac:dyDescent="0.3">
      <c r="A145">
        <v>1144</v>
      </c>
      <c r="B145">
        <v>7</v>
      </c>
      <c r="C145">
        <v>1</v>
      </c>
      <c r="D145">
        <v>8</v>
      </c>
      <c r="E145">
        <v>4</v>
      </c>
      <c r="F145">
        <v>2</v>
      </c>
      <c r="G145">
        <v>8</v>
      </c>
      <c r="H145">
        <v>190</v>
      </c>
      <c r="I145">
        <v>5</v>
      </c>
      <c r="J145">
        <v>41</v>
      </c>
      <c r="K145">
        <f t="shared" si="14"/>
        <v>4.4000000000000004</v>
      </c>
      <c r="L145">
        <f t="shared" si="15"/>
        <v>44</v>
      </c>
      <c r="M145">
        <f t="shared" si="16"/>
        <v>60</v>
      </c>
      <c r="N145">
        <f t="shared" si="17"/>
        <v>90</v>
      </c>
      <c r="O145">
        <f t="shared" si="18"/>
        <v>63</v>
      </c>
      <c r="P145" t="str">
        <f t="shared" si="19"/>
        <v>Not Ready</v>
      </c>
      <c r="Q145" t="str">
        <f t="shared" si="20"/>
        <v>Medium</v>
      </c>
    </row>
    <row r="146" spans="1:17" x14ac:dyDescent="0.3">
      <c r="A146">
        <v>1145</v>
      </c>
      <c r="B146">
        <v>6</v>
      </c>
      <c r="C146">
        <v>4</v>
      </c>
      <c r="D146">
        <v>5</v>
      </c>
      <c r="E146">
        <v>6</v>
      </c>
      <c r="F146">
        <v>3</v>
      </c>
      <c r="G146">
        <v>5</v>
      </c>
      <c r="H146">
        <v>452</v>
      </c>
      <c r="I146">
        <v>1</v>
      </c>
      <c r="J146">
        <v>85</v>
      </c>
      <c r="K146">
        <f t="shared" si="14"/>
        <v>4.8</v>
      </c>
      <c r="L146">
        <f t="shared" si="15"/>
        <v>48</v>
      </c>
      <c r="M146">
        <f t="shared" si="16"/>
        <v>100</v>
      </c>
      <c r="N146">
        <f t="shared" si="17"/>
        <v>35</v>
      </c>
      <c r="O146">
        <f t="shared" si="18"/>
        <v>60</v>
      </c>
      <c r="P146" t="str">
        <f t="shared" si="19"/>
        <v>Placement Ready</v>
      </c>
      <c r="Q146" t="str">
        <f t="shared" si="20"/>
        <v>Medium</v>
      </c>
    </row>
    <row r="147" spans="1:17" x14ac:dyDescent="0.3">
      <c r="A147">
        <v>1146</v>
      </c>
      <c r="B147">
        <v>4</v>
      </c>
      <c r="C147">
        <v>7</v>
      </c>
      <c r="D147">
        <v>8</v>
      </c>
      <c r="E147">
        <v>5</v>
      </c>
      <c r="F147">
        <v>8</v>
      </c>
      <c r="G147">
        <v>4</v>
      </c>
      <c r="H147">
        <v>420</v>
      </c>
      <c r="I147">
        <v>0</v>
      </c>
      <c r="J147">
        <v>67</v>
      </c>
      <c r="K147">
        <f t="shared" si="14"/>
        <v>6.4</v>
      </c>
      <c r="L147">
        <f t="shared" si="15"/>
        <v>64</v>
      </c>
      <c r="M147">
        <f t="shared" si="16"/>
        <v>100</v>
      </c>
      <c r="N147">
        <f t="shared" si="17"/>
        <v>20</v>
      </c>
      <c r="O147">
        <f t="shared" si="18"/>
        <v>62</v>
      </c>
      <c r="P147" t="str">
        <f t="shared" si="19"/>
        <v>Needs Improvement</v>
      </c>
      <c r="Q147" t="str">
        <f t="shared" si="20"/>
        <v>Medium</v>
      </c>
    </row>
    <row r="148" spans="1:17" x14ac:dyDescent="0.3">
      <c r="A148">
        <v>1147</v>
      </c>
      <c r="B148">
        <v>3</v>
      </c>
      <c r="C148">
        <v>7</v>
      </c>
      <c r="D148">
        <v>9</v>
      </c>
      <c r="E148">
        <v>4</v>
      </c>
      <c r="F148">
        <v>5</v>
      </c>
      <c r="G148">
        <v>3</v>
      </c>
      <c r="H148">
        <v>433</v>
      </c>
      <c r="I148">
        <v>0</v>
      </c>
      <c r="J148">
        <v>56</v>
      </c>
      <c r="K148">
        <f t="shared" si="14"/>
        <v>5.6</v>
      </c>
      <c r="L148">
        <f t="shared" si="15"/>
        <v>56</v>
      </c>
      <c r="M148">
        <f t="shared" si="16"/>
        <v>100</v>
      </c>
      <c r="N148">
        <f t="shared" si="17"/>
        <v>15</v>
      </c>
      <c r="O148">
        <f t="shared" si="18"/>
        <v>57</v>
      </c>
      <c r="P148" t="str">
        <f t="shared" si="19"/>
        <v>Needs Improvement</v>
      </c>
      <c r="Q148" t="str">
        <f t="shared" si="20"/>
        <v>Medium</v>
      </c>
    </row>
    <row r="149" spans="1:17" x14ac:dyDescent="0.3">
      <c r="A149">
        <v>1148</v>
      </c>
      <c r="B149">
        <v>4</v>
      </c>
      <c r="C149">
        <v>10</v>
      </c>
      <c r="D149">
        <v>8</v>
      </c>
      <c r="E149">
        <v>9</v>
      </c>
      <c r="F149">
        <v>4</v>
      </c>
      <c r="G149">
        <v>1</v>
      </c>
      <c r="H149">
        <v>311</v>
      </c>
      <c r="I149">
        <v>2</v>
      </c>
      <c r="J149">
        <v>52</v>
      </c>
      <c r="K149">
        <f t="shared" si="14"/>
        <v>7</v>
      </c>
      <c r="L149">
        <f t="shared" si="15"/>
        <v>70</v>
      </c>
      <c r="M149">
        <f t="shared" si="16"/>
        <v>80</v>
      </c>
      <c r="N149">
        <f t="shared" si="17"/>
        <v>25</v>
      </c>
      <c r="O149">
        <f t="shared" si="18"/>
        <v>60</v>
      </c>
      <c r="P149" t="str">
        <f t="shared" si="19"/>
        <v>Needs Improvement</v>
      </c>
      <c r="Q149" t="str">
        <f t="shared" si="20"/>
        <v>Medium</v>
      </c>
    </row>
    <row r="150" spans="1:17" x14ac:dyDescent="0.3">
      <c r="A150">
        <v>1149</v>
      </c>
      <c r="B150">
        <v>2</v>
      </c>
      <c r="C150">
        <v>4</v>
      </c>
      <c r="D150">
        <v>5</v>
      </c>
      <c r="E150">
        <v>3</v>
      </c>
      <c r="F150">
        <v>10</v>
      </c>
      <c r="G150">
        <v>7</v>
      </c>
      <c r="H150">
        <v>300</v>
      </c>
      <c r="I150">
        <v>1</v>
      </c>
      <c r="J150">
        <v>58</v>
      </c>
      <c r="K150">
        <f t="shared" si="14"/>
        <v>4.8</v>
      </c>
      <c r="L150">
        <f t="shared" si="15"/>
        <v>48</v>
      </c>
      <c r="M150">
        <f t="shared" si="16"/>
        <v>80</v>
      </c>
      <c r="N150">
        <f t="shared" si="17"/>
        <v>45</v>
      </c>
      <c r="O150">
        <f t="shared" si="18"/>
        <v>57</v>
      </c>
      <c r="P150" t="str">
        <f t="shared" si="19"/>
        <v>Needs Improvement</v>
      </c>
      <c r="Q150" t="str">
        <f t="shared" si="20"/>
        <v>Medium</v>
      </c>
    </row>
    <row r="151" spans="1:17" x14ac:dyDescent="0.3">
      <c r="A151">
        <v>1150</v>
      </c>
      <c r="B151">
        <v>3</v>
      </c>
      <c r="C151">
        <v>2</v>
      </c>
      <c r="D151">
        <v>4</v>
      </c>
      <c r="E151">
        <v>2</v>
      </c>
      <c r="F151">
        <v>1</v>
      </c>
      <c r="G151">
        <v>7</v>
      </c>
      <c r="H151">
        <v>279</v>
      </c>
      <c r="I151">
        <v>4</v>
      </c>
      <c r="J151">
        <v>42</v>
      </c>
      <c r="K151">
        <f t="shared" si="14"/>
        <v>2.4</v>
      </c>
      <c r="L151">
        <f t="shared" si="15"/>
        <v>24</v>
      </c>
      <c r="M151">
        <f t="shared" si="16"/>
        <v>80</v>
      </c>
      <c r="N151">
        <f t="shared" si="17"/>
        <v>75</v>
      </c>
      <c r="O151">
        <f t="shared" si="18"/>
        <v>56</v>
      </c>
      <c r="P151" t="str">
        <f t="shared" si="19"/>
        <v>Not Ready</v>
      </c>
      <c r="Q151" t="str">
        <f t="shared" si="20"/>
        <v>Medium</v>
      </c>
    </row>
    <row r="152" spans="1:17" x14ac:dyDescent="0.3">
      <c r="A152">
        <v>1151</v>
      </c>
      <c r="B152">
        <v>3</v>
      </c>
      <c r="C152">
        <v>6</v>
      </c>
      <c r="D152">
        <v>7</v>
      </c>
      <c r="E152">
        <v>1</v>
      </c>
      <c r="F152">
        <v>2</v>
      </c>
      <c r="G152">
        <v>6</v>
      </c>
      <c r="H152">
        <v>105</v>
      </c>
      <c r="I152">
        <v>2</v>
      </c>
      <c r="J152">
        <v>83</v>
      </c>
      <c r="K152">
        <f t="shared" si="14"/>
        <v>3.8</v>
      </c>
      <c r="L152">
        <f t="shared" si="15"/>
        <v>38</v>
      </c>
      <c r="M152">
        <f t="shared" si="16"/>
        <v>40</v>
      </c>
      <c r="N152">
        <f t="shared" si="17"/>
        <v>50</v>
      </c>
      <c r="O152">
        <f t="shared" si="18"/>
        <v>42</v>
      </c>
      <c r="P152" t="str">
        <f t="shared" si="19"/>
        <v>Placement Ready</v>
      </c>
      <c r="Q152" t="str">
        <f t="shared" si="20"/>
        <v>Medium</v>
      </c>
    </row>
    <row r="153" spans="1:17" x14ac:dyDescent="0.3">
      <c r="A153">
        <v>1152</v>
      </c>
      <c r="B153">
        <v>4</v>
      </c>
      <c r="C153">
        <v>10</v>
      </c>
      <c r="D153">
        <v>10</v>
      </c>
      <c r="E153">
        <v>10</v>
      </c>
      <c r="F153">
        <v>6</v>
      </c>
      <c r="G153">
        <v>4</v>
      </c>
      <c r="H153">
        <v>67</v>
      </c>
      <c r="I153">
        <v>5</v>
      </c>
      <c r="J153">
        <v>47</v>
      </c>
      <c r="K153">
        <f t="shared" si="14"/>
        <v>8</v>
      </c>
      <c r="L153">
        <f t="shared" si="15"/>
        <v>80</v>
      </c>
      <c r="M153">
        <f t="shared" si="16"/>
        <v>40</v>
      </c>
      <c r="N153">
        <f t="shared" si="17"/>
        <v>70</v>
      </c>
      <c r="O153">
        <f t="shared" si="18"/>
        <v>65</v>
      </c>
      <c r="P153" t="str">
        <f t="shared" si="19"/>
        <v>Not Ready</v>
      </c>
      <c r="Q153" t="str">
        <f t="shared" si="20"/>
        <v>Medium</v>
      </c>
    </row>
    <row r="154" spans="1:17" x14ac:dyDescent="0.3">
      <c r="A154">
        <v>1153</v>
      </c>
      <c r="B154">
        <v>9</v>
      </c>
      <c r="C154">
        <v>4</v>
      </c>
      <c r="D154">
        <v>8</v>
      </c>
      <c r="E154">
        <v>7</v>
      </c>
      <c r="F154">
        <v>5</v>
      </c>
      <c r="G154">
        <v>4</v>
      </c>
      <c r="H154">
        <v>308</v>
      </c>
      <c r="I154">
        <v>0</v>
      </c>
      <c r="J154">
        <v>89</v>
      </c>
      <c r="K154">
        <f t="shared" si="14"/>
        <v>6.6</v>
      </c>
      <c r="L154">
        <f t="shared" si="15"/>
        <v>66</v>
      </c>
      <c r="M154">
        <f t="shared" si="16"/>
        <v>80</v>
      </c>
      <c r="N154">
        <f t="shared" si="17"/>
        <v>20</v>
      </c>
      <c r="O154">
        <f t="shared" si="18"/>
        <v>56</v>
      </c>
      <c r="P154" t="str">
        <f t="shared" si="19"/>
        <v>Placement Ready</v>
      </c>
      <c r="Q154" t="str">
        <f t="shared" si="20"/>
        <v>Medium</v>
      </c>
    </row>
    <row r="155" spans="1:17" x14ac:dyDescent="0.3">
      <c r="A155">
        <v>1154</v>
      </c>
      <c r="B155">
        <v>2</v>
      </c>
      <c r="C155">
        <v>8</v>
      </c>
      <c r="D155">
        <v>6</v>
      </c>
      <c r="E155">
        <v>2</v>
      </c>
      <c r="F155">
        <v>10</v>
      </c>
      <c r="G155">
        <v>3</v>
      </c>
      <c r="H155">
        <v>85</v>
      </c>
      <c r="I155">
        <v>4</v>
      </c>
      <c r="J155">
        <v>75</v>
      </c>
      <c r="K155">
        <f t="shared" si="14"/>
        <v>5.6</v>
      </c>
      <c r="L155">
        <f t="shared" si="15"/>
        <v>56</v>
      </c>
      <c r="M155">
        <f t="shared" si="16"/>
        <v>40</v>
      </c>
      <c r="N155">
        <f t="shared" si="17"/>
        <v>55</v>
      </c>
      <c r="O155">
        <f t="shared" si="18"/>
        <v>51</v>
      </c>
      <c r="P155" t="str">
        <f t="shared" si="19"/>
        <v>Placement Ready</v>
      </c>
      <c r="Q155" t="str">
        <f t="shared" si="20"/>
        <v>Medium</v>
      </c>
    </row>
    <row r="156" spans="1:17" x14ac:dyDescent="0.3">
      <c r="A156">
        <v>1155</v>
      </c>
      <c r="B156">
        <v>10</v>
      </c>
      <c r="C156">
        <v>4</v>
      </c>
      <c r="D156">
        <v>5</v>
      </c>
      <c r="E156">
        <v>3</v>
      </c>
      <c r="F156">
        <v>9</v>
      </c>
      <c r="G156">
        <v>1</v>
      </c>
      <c r="H156">
        <v>195</v>
      </c>
      <c r="I156">
        <v>1</v>
      </c>
      <c r="J156">
        <v>60</v>
      </c>
      <c r="K156">
        <f t="shared" si="14"/>
        <v>6.2</v>
      </c>
      <c r="L156">
        <f t="shared" si="15"/>
        <v>62</v>
      </c>
      <c r="M156">
        <f t="shared" si="16"/>
        <v>60</v>
      </c>
      <c r="N156">
        <f t="shared" si="17"/>
        <v>15</v>
      </c>
      <c r="O156">
        <f t="shared" si="18"/>
        <v>47</v>
      </c>
      <c r="P156" t="str">
        <f t="shared" si="19"/>
        <v>Needs Improvement</v>
      </c>
      <c r="Q156" t="str">
        <f t="shared" si="20"/>
        <v>Medium</v>
      </c>
    </row>
    <row r="157" spans="1:17" x14ac:dyDescent="0.3">
      <c r="A157">
        <v>1156</v>
      </c>
      <c r="B157">
        <v>8</v>
      </c>
      <c r="C157">
        <v>4</v>
      </c>
      <c r="D157">
        <v>3</v>
      </c>
      <c r="E157">
        <v>10</v>
      </c>
      <c r="F157">
        <v>8</v>
      </c>
      <c r="G157">
        <v>7</v>
      </c>
      <c r="H157">
        <v>382</v>
      </c>
      <c r="I157">
        <v>3</v>
      </c>
      <c r="J157">
        <v>64</v>
      </c>
      <c r="K157">
        <f t="shared" si="14"/>
        <v>6.6</v>
      </c>
      <c r="L157">
        <f t="shared" si="15"/>
        <v>66</v>
      </c>
      <c r="M157">
        <f t="shared" si="16"/>
        <v>80</v>
      </c>
      <c r="N157">
        <f t="shared" si="17"/>
        <v>65</v>
      </c>
      <c r="O157">
        <f t="shared" si="18"/>
        <v>70</v>
      </c>
      <c r="P157" t="str">
        <f t="shared" si="19"/>
        <v>Needs Improvement</v>
      </c>
      <c r="Q157" t="str">
        <f t="shared" si="20"/>
        <v>Medium</v>
      </c>
    </row>
    <row r="158" spans="1:17" x14ac:dyDescent="0.3">
      <c r="A158">
        <v>1157</v>
      </c>
      <c r="B158">
        <v>1</v>
      </c>
      <c r="C158">
        <v>1</v>
      </c>
      <c r="D158">
        <v>1</v>
      </c>
      <c r="E158">
        <v>6</v>
      </c>
      <c r="F158">
        <v>9</v>
      </c>
      <c r="G158">
        <v>4</v>
      </c>
      <c r="H158">
        <v>297</v>
      </c>
      <c r="I158">
        <v>4</v>
      </c>
      <c r="J158">
        <v>69</v>
      </c>
      <c r="K158">
        <f t="shared" si="14"/>
        <v>3.6</v>
      </c>
      <c r="L158">
        <f t="shared" si="15"/>
        <v>36</v>
      </c>
      <c r="M158">
        <f t="shared" si="16"/>
        <v>80</v>
      </c>
      <c r="N158">
        <f t="shared" si="17"/>
        <v>60</v>
      </c>
      <c r="O158">
        <f t="shared" si="18"/>
        <v>56</v>
      </c>
      <c r="P158" t="str">
        <f t="shared" si="19"/>
        <v>Needs Improvement</v>
      </c>
      <c r="Q158" t="str">
        <f t="shared" si="20"/>
        <v>Medium</v>
      </c>
    </row>
    <row r="159" spans="1:17" x14ac:dyDescent="0.3">
      <c r="A159">
        <v>1158</v>
      </c>
      <c r="B159">
        <v>3</v>
      </c>
      <c r="C159">
        <v>5</v>
      </c>
      <c r="D159">
        <v>3</v>
      </c>
      <c r="E159">
        <v>9</v>
      </c>
      <c r="F159">
        <v>3</v>
      </c>
      <c r="G159">
        <v>3</v>
      </c>
      <c r="H159">
        <v>416</v>
      </c>
      <c r="I159">
        <v>4</v>
      </c>
      <c r="J159">
        <v>91</v>
      </c>
      <c r="K159">
        <f t="shared" si="14"/>
        <v>4.5999999999999996</v>
      </c>
      <c r="L159">
        <f t="shared" si="15"/>
        <v>46</v>
      </c>
      <c r="M159">
        <f t="shared" si="16"/>
        <v>100</v>
      </c>
      <c r="N159">
        <f t="shared" si="17"/>
        <v>55</v>
      </c>
      <c r="O159">
        <f t="shared" si="18"/>
        <v>65</v>
      </c>
      <c r="P159" t="str">
        <f t="shared" si="19"/>
        <v>Placement Ready</v>
      </c>
      <c r="Q159" t="str">
        <f t="shared" si="20"/>
        <v>Medium</v>
      </c>
    </row>
    <row r="160" spans="1:17" x14ac:dyDescent="0.3">
      <c r="A160">
        <v>1159</v>
      </c>
      <c r="B160">
        <v>5</v>
      </c>
      <c r="C160">
        <v>3</v>
      </c>
      <c r="D160">
        <v>1</v>
      </c>
      <c r="E160">
        <v>4</v>
      </c>
      <c r="F160">
        <v>8</v>
      </c>
      <c r="G160">
        <v>4</v>
      </c>
      <c r="H160">
        <v>157</v>
      </c>
      <c r="I160">
        <v>4</v>
      </c>
      <c r="J160">
        <v>83</v>
      </c>
      <c r="K160">
        <f t="shared" si="14"/>
        <v>4.2</v>
      </c>
      <c r="L160">
        <f t="shared" si="15"/>
        <v>42</v>
      </c>
      <c r="M160">
        <f t="shared" si="16"/>
        <v>60</v>
      </c>
      <c r="N160">
        <f t="shared" si="17"/>
        <v>60</v>
      </c>
      <c r="O160">
        <f t="shared" si="18"/>
        <v>53</v>
      </c>
      <c r="P160" t="str">
        <f t="shared" si="19"/>
        <v>Placement Ready</v>
      </c>
      <c r="Q160" t="str">
        <f t="shared" si="20"/>
        <v>Medium</v>
      </c>
    </row>
    <row r="161" spans="1:17" x14ac:dyDescent="0.3">
      <c r="A161">
        <v>1160</v>
      </c>
      <c r="B161">
        <v>5</v>
      </c>
      <c r="C161">
        <v>6</v>
      </c>
      <c r="D161">
        <v>8</v>
      </c>
      <c r="E161">
        <v>6</v>
      </c>
      <c r="F161">
        <v>1</v>
      </c>
      <c r="G161">
        <v>1</v>
      </c>
      <c r="H161">
        <v>106</v>
      </c>
      <c r="I161">
        <v>5</v>
      </c>
      <c r="J161">
        <v>91</v>
      </c>
      <c r="K161">
        <f t="shared" si="14"/>
        <v>5.2</v>
      </c>
      <c r="L161">
        <f t="shared" si="15"/>
        <v>52</v>
      </c>
      <c r="M161">
        <f t="shared" si="16"/>
        <v>40</v>
      </c>
      <c r="N161">
        <f t="shared" si="17"/>
        <v>55</v>
      </c>
      <c r="O161">
        <f t="shared" si="18"/>
        <v>49</v>
      </c>
      <c r="P161" t="str">
        <f t="shared" si="19"/>
        <v>Placement Ready</v>
      </c>
      <c r="Q161" t="str">
        <f t="shared" si="20"/>
        <v>Medium</v>
      </c>
    </row>
    <row r="162" spans="1:17" x14ac:dyDescent="0.3">
      <c r="A162">
        <v>1161</v>
      </c>
      <c r="B162">
        <v>9</v>
      </c>
      <c r="C162">
        <v>2</v>
      </c>
      <c r="D162">
        <v>4</v>
      </c>
      <c r="E162">
        <v>7</v>
      </c>
      <c r="F162">
        <v>2</v>
      </c>
      <c r="G162">
        <v>8</v>
      </c>
      <c r="H162">
        <v>297</v>
      </c>
      <c r="I162">
        <v>3</v>
      </c>
      <c r="J162">
        <v>77</v>
      </c>
      <c r="K162">
        <f t="shared" si="14"/>
        <v>4.8</v>
      </c>
      <c r="L162">
        <f t="shared" si="15"/>
        <v>48</v>
      </c>
      <c r="M162">
        <f t="shared" si="16"/>
        <v>80</v>
      </c>
      <c r="N162">
        <f t="shared" si="17"/>
        <v>70</v>
      </c>
      <c r="O162">
        <f t="shared" si="18"/>
        <v>64</v>
      </c>
      <c r="P162" t="str">
        <f t="shared" si="19"/>
        <v>Placement Ready</v>
      </c>
      <c r="Q162" t="str">
        <f t="shared" si="20"/>
        <v>Medium</v>
      </c>
    </row>
    <row r="163" spans="1:17" x14ac:dyDescent="0.3">
      <c r="A163">
        <v>1162</v>
      </c>
      <c r="B163">
        <v>8</v>
      </c>
      <c r="C163">
        <v>2</v>
      </c>
      <c r="D163">
        <v>2</v>
      </c>
      <c r="E163">
        <v>3</v>
      </c>
      <c r="F163">
        <v>2</v>
      </c>
      <c r="G163">
        <v>6</v>
      </c>
      <c r="H163">
        <v>252</v>
      </c>
      <c r="I163">
        <v>3</v>
      </c>
      <c r="J163">
        <v>57</v>
      </c>
      <c r="K163">
        <f t="shared" si="14"/>
        <v>3.4</v>
      </c>
      <c r="L163">
        <f t="shared" si="15"/>
        <v>34</v>
      </c>
      <c r="M163">
        <f t="shared" si="16"/>
        <v>80</v>
      </c>
      <c r="N163">
        <f t="shared" si="17"/>
        <v>60</v>
      </c>
      <c r="O163">
        <f t="shared" si="18"/>
        <v>56</v>
      </c>
      <c r="P163" t="str">
        <f t="shared" si="19"/>
        <v>Needs Improvement</v>
      </c>
      <c r="Q163" t="str">
        <f t="shared" si="20"/>
        <v>Medium</v>
      </c>
    </row>
    <row r="164" spans="1:17" x14ac:dyDescent="0.3">
      <c r="A164">
        <v>1163</v>
      </c>
      <c r="B164">
        <v>5</v>
      </c>
      <c r="C164">
        <v>7</v>
      </c>
      <c r="D164">
        <v>3</v>
      </c>
      <c r="E164">
        <v>2</v>
      </c>
      <c r="F164">
        <v>2</v>
      </c>
      <c r="G164">
        <v>3</v>
      </c>
      <c r="H164">
        <v>488</v>
      </c>
      <c r="I164">
        <v>0</v>
      </c>
      <c r="J164">
        <v>56</v>
      </c>
      <c r="K164">
        <f t="shared" si="14"/>
        <v>3.8</v>
      </c>
      <c r="L164">
        <f t="shared" si="15"/>
        <v>38</v>
      </c>
      <c r="M164">
        <f t="shared" si="16"/>
        <v>100</v>
      </c>
      <c r="N164">
        <f t="shared" si="17"/>
        <v>15</v>
      </c>
      <c r="O164">
        <f t="shared" si="18"/>
        <v>50</v>
      </c>
      <c r="P164" t="str">
        <f t="shared" si="19"/>
        <v>Needs Improvement</v>
      </c>
      <c r="Q164" t="str">
        <f t="shared" si="20"/>
        <v>Medium</v>
      </c>
    </row>
    <row r="165" spans="1:17" x14ac:dyDescent="0.3">
      <c r="A165">
        <v>1164</v>
      </c>
      <c r="B165">
        <v>7</v>
      </c>
      <c r="C165">
        <v>7</v>
      </c>
      <c r="D165">
        <v>7</v>
      </c>
      <c r="E165">
        <v>10</v>
      </c>
      <c r="F165">
        <v>2</v>
      </c>
      <c r="G165">
        <v>3</v>
      </c>
      <c r="H165">
        <v>53</v>
      </c>
      <c r="I165">
        <v>2</v>
      </c>
      <c r="J165">
        <v>80</v>
      </c>
      <c r="K165">
        <f t="shared" si="14"/>
        <v>6.6</v>
      </c>
      <c r="L165">
        <f t="shared" si="15"/>
        <v>66</v>
      </c>
      <c r="M165">
        <f t="shared" si="16"/>
        <v>40</v>
      </c>
      <c r="N165">
        <f t="shared" si="17"/>
        <v>35</v>
      </c>
      <c r="O165">
        <f t="shared" si="18"/>
        <v>49</v>
      </c>
      <c r="P165" t="str">
        <f t="shared" si="19"/>
        <v>Placement Ready</v>
      </c>
      <c r="Q165" t="str">
        <f t="shared" si="20"/>
        <v>Medium</v>
      </c>
    </row>
    <row r="166" spans="1:17" x14ac:dyDescent="0.3">
      <c r="A166">
        <v>1165</v>
      </c>
      <c r="B166">
        <v>5</v>
      </c>
      <c r="C166">
        <v>1</v>
      </c>
      <c r="D166">
        <v>1</v>
      </c>
      <c r="E166">
        <v>9</v>
      </c>
      <c r="F166">
        <v>9</v>
      </c>
      <c r="G166">
        <v>0</v>
      </c>
      <c r="H166">
        <v>361</v>
      </c>
      <c r="I166">
        <v>2</v>
      </c>
      <c r="J166">
        <v>79</v>
      </c>
      <c r="K166">
        <f t="shared" si="14"/>
        <v>5</v>
      </c>
      <c r="L166">
        <f t="shared" si="15"/>
        <v>50</v>
      </c>
      <c r="M166">
        <f t="shared" si="16"/>
        <v>80</v>
      </c>
      <c r="N166">
        <f t="shared" si="17"/>
        <v>20</v>
      </c>
      <c r="O166">
        <f t="shared" si="18"/>
        <v>50</v>
      </c>
      <c r="P166" t="str">
        <f t="shared" si="19"/>
        <v>Placement Ready</v>
      </c>
      <c r="Q166" t="str">
        <f t="shared" si="20"/>
        <v>Medium</v>
      </c>
    </row>
    <row r="167" spans="1:17" x14ac:dyDescent="0.3">
      <c r="A167">
        <v>1166</v>
      </c>
      <c r="B167">
        <v>8</v>
      </c>
      <c r="C167">
        <v>10</v>
      </c>
      <c r="D167">
        <v>1</v>
      </c>
      <c r="E167">
        <v>7</v>
      </c>
      <c r="F167">
        <v>3</v>
      </c>
      <c r="G167">
        <v>0</v>
      </c>
      <c r="H167">
        <v>64</v>
      </c>
      <c r="I167">
        <v>5</v>
      </c>
      <c r="J167">
        <v>76</v>
      </c>
      <c r="K167">
        <f t="shared" si="14"/>
        <v>5.8</v>
      </c>
      <c r="L167">
        <f t="shared" si="15"/>
        <v>58</v>
      </c>
      <c r="M167">
        <f t="shared" si="16"/>
        <v>40</v>
      </c>
      <c r="N167">
        <f t="shared" si="17"/>
        <v>50</v>
      </c>
      <c r="O167">
        <f t="shared" si="18"/>
        <v>50</v>
      </c>
      <c r="P167" t="str">
        <f t="shared" si="19"/>
        <v>Placement Ready</v>
      </c>
      <c r="Q167" t="str">
        <f t="shared" si="20"/>
        <v>Medium</v>
      </c>
    </row>
    <row r="168" spans="1:17" x14ac:dyDescent="0.3">
      <c r="A168">
        <v>1167</v>
      </c>
      <c r="B168">
        <v>2</v>
      </c>
      <c r="C168">
        <v>3</v>
      </c>
      <c r="D168">
        <v>9</v>
      </c>
      <c r="E168">
        <v>1</v>
      </c>
      <c r="F168">
        <v>6</v>
      </c>
      <c r="G168">
        <v>6</v>
      </c>
      <c r="H168">
        <v>355</v>
      </c>
      <c r="I168">
        <v>0</v>
      </c>
      <c r="J168">
        <v>91</v>
      </c>
      <c r="K168">
        <f t="shared" si="14"/>
        <v>4.2</v>
      </c>
      <c r="L168">
        <f t="shared" si="15"/>
        <v>42</v>
      </c>
      <c r="M168">
        <f t="shared" si="16"/>
        <v>80</v>
      </c>
      <c r="N168">
        <f t="shared" si="17"/>
        <v>30</v>
      </c>
      <c r="O168">
        <f t="shared" si="18"/>
        <v>50</v>
      </c>
      <c r="P168" t="str">
        <f t="shared" si="19"/>
        <v>Placement Ready</v>
      </c>
      <c r="Q168" t="str">
        <f t="shared" si="20"/>
        <v>Medium</v>
      </c>
    </row>
    <row r="169" spans="1:17" x14ac:dyDescent="0.3">
      <c r="A169">
        <v>1168</v>
      </c>
      <c r="B169">
        <v>10</v>
      </c>
      <c r="C169">
        <v>8</v>
      </c>
      <c r="D169">
        <v>4</v>
      </c>
      <c r="E169">
        <v>9</v>
      </c>
      <c r="F169">
        <v>5</v>
      </c>
      <c r="G169">
        <v>3</v>
      </c>
      <c r="H169">
        <v>499</v>
      </c>
      <c r="I169">
        <v>5</v>
      </c>
      <c r="J169">
        <v>82</v>
      </c>
      <c r="K169">
        <f t="shared" si="14"/>
        <v>7.2</v>
      </c>
      <c r="L169">
        <f t="shared" si="15"/>
        <v>72</v>
      </c>
      <c r="M169">
        <f t="shared" si="16"/>
        <v>100</v>
      </c>
      <c r="N169">
        <f t="shared" si="17"/>
        <v>65</v>
      </c>
      <c r="O169">
        <f t="shared" si="18"/>
        <v>78</v>
      </c>
      <c r="P169" t="str">
        <f t="shared" si="19"/>
        <v>Placement Ready</v>
      </c>
      <c r="Q169" t="str">
        <f t="shared" si="20"/>
        <v>High</v>
      </c>
    </row>
    <row r="170" spans="1:17" x14ac:dyDescent="0.3">
      <c r="A170">
        <v>1169</v>
      </c>
      <c r="B170">
        <v>2</v>
      </c>
      <c r="C170">
        <v>7</v>
      </c>
      <c r="D170">
        <v>10</v>
      </c>
      <c r="E170">
        <v>10</v>
      </c>
      <c r="F170">
        <v>8</v>
      </c>
      <c r="G170">
        <v>2</v>
      </c>
      <c r="H170">
        <v>478</v>
      </c>
      <c r="I170">
        <v>0</v>
      </c>
      <c r="J170">
        <v>78</v>
      </c>
      <c r="K170">
        <f t="shared" si="14"/>
        <v>7.4</v>
      </c>
      <c r="L170">
        <f t="shared" si="15"/>
        <v>74</v>
      </c>
      <c r="M170">
        <f t="shared" si="16"/>
        <v>100</v>
      </c>
      <c r="N170">
        <f t="shared" si="17"/>
        <v>10</v>
      </c>
      <c r="O170">
        <f t="shared" si="18"/>
        <v>63</v>
      </c>
      <c r="P170" t="str">
        <f t="shared" si="19"/>
        <v>Placement Ready</v>
      </c>
      <c r="Q170" t="str">
        <f t="shared" si="20"/>
        <v>Medium</v>
      </c>
    </row>
    <row r="171" spans="1:17" x14ac:dyDescent="0.3">
      <c r="A171">
        <v>1170</v>
      </c>
      <c r="B171">
        <v>6</v>
      </c>
      <c r="C171">
        <v>3</v>
      </c>
      <c r="D171">
        <v>8</v>
      </c>
      <c r="E171">
        <v>9</v>
      </c>
      <c r="F171">
        <v>6</v>
      </c>
      <c r="G171">
        <v>8</v>
      </c>
      <c r="H171">
        <v>255</v>
      </c>
      <c r="I171">
        <v>3</v>
      </c>
      <c r="J171">
        <v>90</v>
      </c>
      <c r="K171">
        <f t="shared" si="14"/>
        <v>6.4</v>
      </c>
      <c r="L171">
        <f t="shared" si="15"/>
        <v>64</v>
      </c>
      <c r="M171">
        <f t="shared" si="16"/>
        <v>80</v>
      </c>
      <c r="N171">
        <f t="shared" si="17"/>
        <v>70</v>
      </c>
      <c r="O171">
        <f t="shared" si="18"/>
        <v>71</v>
      </c>
      <c r="P171" t="str">
        <f t="shared" si="19"/>
        <v>Placement Ready</v>
      </c>
      <c r="Q171" t="str">
        <f t="shared" si="20"/>
        <v>High</v>
      </c>
    </row>
    <row r="172" spans="1:17" x14ac:dyDescent="0.3">
      <c r="A172">
        <v>1171</v>
      </c>
      <c r="B172">
        <v>7</v>
      </c>
      <c r="C172">
        <v>2</v>
      </c>
      <c r="D172">
        <v>1</v>
      </c>
      <c r="E172">
        <v>6</v>
      </c>
      <c r="F172">
        <v>6</v>
      </c>
      <c r="G172">
        <v>0</v>
      </c>
      <c r="H172">
        <v>417</v>
      </c>
      <c r="I172">
        <v>2</v>
      </c>
      <c r="J172">
        <v>49</v>
      </c>
      <c r="K172">
        <f t="shared" si="14"/>
        <v>4.4000000000000004</v>
      </c>
      <c r="L172">
        <f t="shared" si="15"/>
        <v>44</v>
      </c>
      <c r="M172">
        <f t="shared" si="16"/>
        <v>100</v>
      </c>
      <c r="N172">
        <f t="shared" si="17"/>
        <v>20</v>
      </c>
      <c r="O172">
        <f t="shared" si="18"/>
        <v>54</v>
      </c>
      <c r="P172" t="str">
        <f t="shared" si="19"/>
        <v>Not Ready</v>
      </c>
      <c r="Q172" t="str">
        <f t="shared" si="20"/>
        <v>Medium</v>
      </c>
    </row>
    <row r="173" spans="1:17" x14ac:dyDescent="0.3">
      <c r="A173">
        <v>1172</v>
      </c>
      <c r="B173">
        <v>7</v>
      </c>
      <c r="C173">
        <v>3</v>
      </c>
      <c r="D173">
        <v>9</v>
      </c>
      <c r="E173">
        <v>5</v>
      </c>
      <c r="F173">
        <v>10</v>
      </c>
      <c r="G173">
        <v>5</v>
      </c>
      <c r="H173">
        <v>308</v>
      </c>
      <c r="I173">
        <v>5</v>
      </c>
      <c r="J173">
        <v>87</v>
      </c>
      <c r="K173">
        <f t="shared" si="14"/>
        <v>6.8</v>
      </c>
      <c r="L173">
        <f t="shared" si="15"/>
        <v>68</v>
      </c>
      <c r="M173">
        <f t="shared" si="16"/>
        <v>80</v>
      </c>
      <c r="N173">
        <f t="shared" si="17"/>
        <v>75</v>
      </c>
      <c r="O173">
        <f t="shared" si="18"/>
        <v>74</v>
      </c>
      <c r="P173" t="str">
        <f t="shared" si="19"/>
        <v>Placement Ready</v>
      </c>
      <c r="Q173" t="str">
        <f t="shared" si="20"/>
        <v>High</v>
      </c>
    </row>
    <row r="174" spans="1:17" x14ac:dyDescent="0.3">
      <c r="A174">
        <v>1173</v>
      </c>
      <c r="B174">
        <v>2</v>
      </c>
      <c r="C174">
        <v>2</v>
      </c>
      <c r="D174">
        <v>9</v>
      </c>
      <c r="E174">
        <v>8</v>
      </c>
      <c r="F174">
        <v>7</v>
      </c>
      <c r="G174">
        <v>6</v>
      </c>
      <c r="H174">
        <v>95</v>
      </c>
      <c r="I174">
        <v>5</v>
      </c>
      <c r="J174">
        <v>54</v>
      </c>
      <c r="K174">
        <f t="shared" si="14"/>
        <v>5.6</v>
      </c>
      <c r="L174">
        <f t="shared" si="15"/>
        <v>56</v>
      </c>
      <c r="M174">
        <f t="shared" si="16"/>
        <v>40</v>
      </c>
      <c r="N174">
        <f t="shared" si="17"/>
        <v>80</v>
      </c>
      <c r="O174">
        <f t="shared" si="18"/>
        <v>58</v>
      </c>
      <c r="P174" t="str">
        <f t="shared" si="19"/>
        <v>Needs Improvement</v>
      </c>
      <c r="Q174" t="str">
        <f t="shared" si="20"/>
        <v>Medium</v>
      </c>
    </row>
    <row r="175" spans="1:17" x14ac:dyDescent="0.3">
      <c r="A175">
        <v>1174</v>
      </c>
      <c r="B175">
        <v>7</v>
      </c>
      <c r="C175">
        <v>1</v>
      </c>
      <c r="D175">
        <v>6</v>
      </c>
      <c r="E175">
        <v>5</v>
      </c>
      <c r="F175">
        <v>7</v>
      </c>
      <c r="G175">
        <v>1</v>
      </c>
      <c r="H175">
        <v>473</v>
      </c>
      <c r="I175">
        <v>0</v>
      </c>
      <c r="J175">
        <v>81</v>
      </c>
      <c r="K175">
        <f t="shared" si="14"/>
        <v>5.2</v>
      </c>
      <c r="L175">
        <f t="shared" si="15"/>
        <v>52</v>
      </c>
      <c r="M175">
        <f t="shared" si="16"/>
        <v>100</v>
      </c>
      <c r="N175">
        <f t="shared" si="17"/>
        <v>5</v>
      </c>
      <c r="O175">
        <f t="shared" si="18"/>
        <v>52</v>
      </c>
      <c r="P175" t="str">
        <f t="shared" si="19"/>
        <v>Placement Ready</v>
      </c>
      <c r="Q175" t="str">
        <f t="shared" si="20"/>
        <v>Medium</v>
      </c>
    </row>
    <row r="176" spans="1:17" x14ac:dyDescent="0.3">
      <c r="A176">
        <v>1175</v>
      </c>
      <c r="B176">
        <v>3</v>
      </c>
      <c r="C176">
        <v>4</v>
      </c>
      <c r="D176">
        <v>5</v>
      </c>
      <c r="E176">
        <v>6</v>
      </c>
      <c r="F176">
        <v>6</v>
      </c>
      <c r="G176">
        <v>0</v>
      </c>
      <c r="H176">
        <v>94</v>
      </c>
      <c r="I176">
        <v>1</v>
      </c>
      <c r="J176">
        <v>59</v>
      </c>
      <c r="K176">
        <f t="shared" si="14"/>
        <v>4.8</v>
      </c>
      <c r="L176">
        <f t="shared" si="15"/>
        <v>48</v>
      </c>
      <c r="M176">
        <f t="shared" si="16"/>
        <v>40</v>
      </c>
      <c r="N176">
        <f t="shared" si="17"/>
        <v>10</v>
      </c>
      <c r="O176">
        <f t="shared" si="18"/>
        <v>34</v>
      </c>
      <c r="P176" t="str">
        <f t="shared" si="19"/>
        <v>Needs Improvement</v>
      </c>
      <c r="Q176" t="str">
        <f t="shared" si="20"/>
        <v>Low</v>
      </c>
    </row>
    <row r="177" spans="1:17" x14ac:dyDescent="0.3">
      <c r="A177">
        <v>1176</v>
      </c>
      <c r="B177">
        <v>1</v>
      </c>
      <c r="C177">
        <v>9</v>
      </c>
      <c r="D177">
        <v>10</v>
      </c>
      <c r="E177">
        <v>10</v>
      </c>
      <c r="F177">
        <v>6</v>
      </c>
      <c r="G177">
        <v>8</v>
      </c>
      <c r="H177">
        <v>273</v>
      </c>
      <c r="I177">
        <v>2</v>
      </c>
      <c r="J177">
        <v>95</v>
      </c>
      <c r="K177">
        <f t="shared" si="14"/>
        <v>7.2</v>
      </c>
      <c r="L177">
        <f t="shared" si="15"/>
        <v>72</v>
      </c>
      <c r="M177">
        <f t="shared" si="16"/>
        <v>80</v>
      </c>
      <c r="N177">
        <f t="shared" si="17"/>
        <v>60</v>
      </c>
      <c r="O177">
        <f t="shared" si="18"/>
        <v>71</v>
      </c>
      <c r="P177" t="str">
        <f t="shared" si="19"/>
        <v>Placement Ready</v>
      </c>
      <c r="Q177" t="str">
        <f t="shared" si="20"/>
        <v>High</v>
      </c>
    </row>
    <row r="178" spans="1:17" x14ac:dyDescent="0.3">
      <c r="A178">
        <v>1177</v>
      </c>
      <c r="B178">
        <v>10</v>
      </c>
      <c r="C178">
        <v>5</v>
      </c>
      <c r="D178">
        <v>10</v>
      </c>
      <c r="E178">
        <v>9</v>
      </c>
      <c r="F178">
        <v>1</v>
      </c>
      <c r="G178">
        <v>0</v>
      </c>
      <c r="H178">
        <v>438</v>
      </c>
      <c r="I178">
        <v>2</v>
      </c>
      <c r="J178">
        <v>47</v>
      </c>
      <c r="K178">
        <f t="shared" si="14"/>
        <v>7</v>
      </c>
      <c r="L178">
        <f t="shared" si="15"/>
        <v>70</v>
      </c>
      <c r="M178">
        <f t="shared" si="16"/>
        <v>100</v>
      </c>
      <c r="N178">
        <f t="shared" si="17"/>
        <v>20</v>
      </c>
      <c r="O178">
        <f t="shared" si="18"/>
        <v>64</v>
      </c>
      <c r="P178" t="str">
        <f t="shared" si="19"/>
        <v>Not Ready</v>
      </c>
      <c r="Q178" t="str">
        <f t="shared" si="20"/>
        <v>Medium</v>
      </c>
    </row>
    <row r="179" spans="1:17" x14ac:dyDescent="0.3">
      <c r="A179">
        <v>1178</v>
      </c>
      <c r="B179">
        <v>8</v>
      </c>
      <c r="C179">
        <v>4</v>
      </c>
      <c r="D179">
        <v>7</v>
      </c>
      <c r="E179">
        <v>9</v>
      </c>
      <c r="F179">
        <v>9</v>
      </c>
      <c r="G179">
        <v>4</v>
      </c>
      <c r="H179">
        <v>210</v>
      </c>
      <c r="I179">
        <v>2</v>
      </c>
      <c r="J179">
        <v>45</v>
      </c>
      <c r="K179">
        <f t="shared" si="14"/>
        <v>7.4</v>
      </c>
      <c r="L179">
        <f t="shared" si="15"/>
        <v>74</v>
      </c>
      <c r="M179">
        <f t="shared" si="16"/>
        <v>60</v>
      </c>
      <c r="N179">
        <f t="shared" si="17"/>
        <v>40</v>
      </c>
      <c r="O179">
        <f t="shared" si="18"/>
        <v>60</v>
      </c>
      <c r="P179" t="str">
        <f t="shared" si="19"/>
        <v>Not Ready</v>
      </c>
      <c r="Q179" t="str">
        <f t="shared" si="20"/>
        <v>Medium</v>
      </c>
    </row>
    <row r="180" spans="1:17" x14ac:dyDescent="0.3">
      <c r="A180">
        <v>1179</v>
      </c>
      <c r="B180">
        <v>6</v>
      </c>
      <c r="C180">
        <v>5</v>
      </c>
      <c r="D180">
        <v>9</v>
      </c>
      <c r="E180">
        <v>6</v>
      </c>
      <c r="F180">
        <v>8</v>
      </c>
      <c r="G180">
        <v>3</v>
      </c>
      <c r="H180">
        <v>334</v>
      </c>
      <c r="I180">
        <v>1</v>
      </c>
      <c r="J180">
        <v>54</v>
      </c>
      <c r="K180">
        <f t="shared" si="14"/>
        <v>6.8</v>
      </c>
      <c r="L180">
        <f t="shared" si="15"/>
        <v>68</v>
      </c>
      <c r="M180">
        <f t="shared" si="16"/>
        <v>80</v>
      </c>
      <c r="N180">
        <f t="shared" si="17"/>
        <v>25</v>
      </c>
      <c r="O180">
        <f t="shared" si="18"/>
        <v>59</v>
      </c>
      <c r="P180" t="str">
        <f t="shared" si="19"/>
        <v>Needs Improvement</v>
      </c>
      <c r="Q180" t="str">
        <f t="shared" si="20"/>
        <v>Medium</v>
      </c>
    </row>
    <row r="181" spans="1:17" x14ac:dyDescent="0.3">
      <c r="A181">
        <v>1180</v>
      </c>
      <c r="B181">
        <v>6</v>
      </c>
      <c r="C181">
        <v>6</v>
      </c>
      <c r="D181">
        <v>5</v>
      </c>
      <c r="E181">
        <v>5</v>
      </c>
      <c r="F181">
        <v>7</v>
      </c>
      <c r="G181">
        <v>7</v>
      </c>
      <c r="H181">
        <v>200</v>
      </c>
      <c r="I181">
        <v>2</v>
      </c>
      <c r="J181">
        <v>86</v>
      </c>
      <c r="K181">
        <f t="shared" si="14"/>
        <v>5.8</v>
      </c>
      <c r="L181">
        <f t="shared" si="15"/>
        <v>58</v>
      </c>
      <c r="M181">
        <f t="shared" si="16"/>
        <v>60</v>
      </c>
      <c r="N181">
        <f t="shared" si="17"/>
        <v>55</v>
      </c>
      <c r="O181">
        <f t="shared" si="18"/>
        <v>58</v>
      </c>
      <c r="P181" t="str">
        <f t="shared" si="19"/>
        <v>Placement Ready</v>
      </c>
      <c r="Q181" t="str">
        <f t="shared" si="20"/>
        <v>Medium</v>
      </c>
    </row>
    <row r="182" spans="1:17" x14ac:dyDescent="0.3">
      <c r="A182">
        <v>1181</v>
      </c>
      <c r="B182">
        <v>2</v>
      </c>
      <c r="C182">
        <v>9</v>
      </c>
      <c r="D182">
        <v>2</v>
      </c>
      <c r="E182">
        <v>9</v>
      </c>
      <c r="F182">
        <v>8</v>
      </c>
      <c r="G182">
        <v>2</v>
      </c>
      <c r="H182">
        <v>448</v>
      </c>
      <c r="I182">
        <v>0</v>
      </c>
      <c r="J182">
        <v>64</v>
      </c>
      <c r="K182">
        <f t="shared" si="14"/>
        <v>6</v>
      </c>
      <c r="L182">
        <f t="shared" si="15"/>
        <v>60</v>
      </c>
      <c r="M182">
        <f t="shared" si="16"/>
        <v>100</v>
      </c>
      <c r="N182">
        <f t="shared" si="17"/>
        <v>10</v>
      </c>
      <c r="O182">
        <f t="shared" si="18"/>
        <v>57</v>
      </c>
      <c r="P182" t="str">
        <f t="shared" si="19"/>
        <v>Needs Improvement</v>
      </c>
      <c r="Q182" t="str">
        <f t="shared" si="20"/>
        <v>Medium</v>
      </c>
    </row>
    <row r="183" spans="1:17" x14ac:dyDescent="0.3">
      <c r="A183">
        <v>1182</v>
      </c>
      <c r="B183">
        <v>5</v>
      </c>
      <c r="C183">
        <v>10</v>
      </c>
      <c r="D183">
        <v>2</v>
      </c>
      <c r="E183">
        <v>7</v>
      </c>
      <c r="F183">
        <v>10</v>
      </c>
      <c r="G183">
        <v>1</v>
      </c>
      <c r="H183">
        <v>69</v>
      </c>
      <c r="I183">
        <v>0</v>
      </c>
      <c r="J183">
        <v>65</v>
      </c>
      <c r="K183">
        <f t="shared" si="14"/>
        <v>6.8</v>
      </c>
      <c r="L183">
        <f t="shared" si="15"/>
        <v>68</v>
      </c>
      <c r="M183">
        <f t="shared" si="16"/>
        <v>40</v>
      </c>
      <c r="N183">
        <f t="shared" si="17"/>
        <v>5</v>
      </c>
      <c r="O183">
        <f t="shared" si="18"/>
        <v>41</v>
      </c>
      <c r="P183" t="str">
        <f t="shared" si="19"/>
        <v>Needs Improvement</v>
      </c>
      <c r="Q183" t="str">
        <f t="shared" si="20"/>
        <v>Medium</v>
      </c>
    </row>
    <row r="184" spans="1:17" x14ac:dyDescent="0.3">
      <c r="A184">
        <v>1183</v>
      </c>
      <c r="B184">
        <v>8</v>
      </c>
      <c r="C184">
        <v>5</v>
      </c>
      <c r="D184">
        <v>1</v>
      </c>
      <c r="E184">
        <v>5</v>
      </c>
      <c r="F184">
        <v>7</v>
      </c>
      <c r="G184">
        <v>7</v>
      </c>
      <c r="H184">
        <v>356</v>
      </c>
      <c r="I184">
        <v>1</v>
      </c>
      <c r="J184">
        <v>51</v>
      </c>
      <c r="K184">
        <f t="shared" si="14"/>
        <v>5.2</v>
      </c>
      <c r="L184">
        <f t="shared" si="15"/>
        <v>52</v>
      </c>
      <c r="M184">
        <f t="shared" si="16"/>
        <v>80</v>
      </c>
      <c r="N184">
        <f t="shared" si="17"/>
        <v>45</v>
      </c>
      <c r="O184">
        <f t="shared" si="18"/>
        <v>58</v>
      </c>
      <c r="P184" t="str">
        <f t="shared" si="19"/>
        <v>Needs Improvement</v>
      </c>
      <c r="Q184" t="str">
        <f t="shared" si="20"/>
        <v>Medium</v>
      </c>
    </row>
    <row r="185" spans="1:17" x14ac:dyDescent="0.3">
      <c r="A185">
        <v>1184</v>
      </c>
      <c r="B185">
        <v>6</v>
      </c>
      <c r="C185">
        <v>6</v>
      </c>
      <c r="D185">
        <v>5</v>
      </c>
      <c r="E185">
        <v>3</v>
      </c>
      <c r="F185">
        <v>3</v>
      </c>
      <c r="G185">
        <v>6</v>
      </c>
      <c r="H185">
        <v>489</v>
      </c>
      <c r="I185">
        <v>2</v>
      </c>
      <c r="J185">
        <v>95</v>
      </c>
      <c r="K185">
        <f t="shared" si="14"/>
        <v>4.5999999999999996</v>
      </c>
      <c r="L185">
        <f t="shared" si="15"/>
        <v>46</v>
      </c>
      <c r="M185">
        <f t="shared" si="16"/>
        <v>100</v>
      </c>
      <c r="N185">
        <f t="shared" si="17"/>
        <v>50</v>
      </c>
      <c r="O185">
        <f t="shared" si="18"/>
        <v>63</v>
      </c>
      <c r="P185" t="str">
        <f t="shared" si="19"/>
        <v>Placement Ready</v>
      </c>
      <c r="Q185" t="str">
        <f t="shared" si="20"/>
        <v>Medium</v>
      </c>
    </row>
    <row r="186" spans="1:17" x14ac:dyDescent="0.3">
      <c r="A186">
        <v>1185</v>
      </c>
      <c r="B186">
        <v>4</v>
      </c>
      <c r="C186">
        <v>6</v>
      </c>
      <c r="D186">
        <v>2</v>
      </c>
      <c r="E186">
        <v>4</v>
      </c>
      <c r="F186">
        <v>10</v>
      </c>
      <c r="G186">
        <v>4</v>
      </c>
      <c r="H186">
        <v>359</v>
      </c>
      <c r="I186">
        <v>3</v>
      </c>
      <c r="J186">
        <v>44</v>
      </c>
      <c r="K186">
        <f t="shared" si="14"/>
        <v>5.2</v>
      </c>
      <c r="L186">
        <f t="shared" si="15"/>
        <v>52</v>
      </c>
      <c r="M186">
        <f t="shared" si="16"/>
        <v>80</v>
      </c>
      <c r="N186">
        <f t="shared" si="17"/>
        <v>50</v>
      </c>
      <c r="O186">
        <f t="shared" si="18"/>
        <v>60</v>
      </c>
      <c r="P186" t="str">
        <f t="shared" si="19"/>
        <v>Not Ready</v>
      </c>
      <c r="Q186" t="str">
        <f t="shared" si="20"/>
        <v>Medium</v>
      </c>
    </row>
    <row r="187" spans="1:17" x14ac:dyDescent="0.3">
      <c r="A187">
        <v>1186</v>
      </c>
      <c r="B187">
        <v>1</v>
      </c>
      <c r="C187">
        <v>10</v>
      </c>
      <c r="D187">
        <v>9</v>
      </c>
      <c r="E187">
        <v>5</v>
      </c>
      <c r="F187">
        <v>7</v>
      </c>
      <c r="G187">
        <v>2</v>
      </c>
      <c r="H187">
        <v>237</v>
      </c>
      <c r="I187">
        <v>5</v>
      </c>
      <c r="J187">
        <v>48</v>
      </c>
      <c r="K187">
        <f t="shared" si="14"/>
        <v>6.4</v>
      </c>
      <c r="L187">
        <f t="shared" si="15"/>
        <v>64</v>
      </c>
      <c r="M187">
        <f t="shared" si="16"/>
        <v>60</v>
      </c>
      <c r="N187">
        <f t="shared" si="17"/>
        <v>60</v>
      </c>
      <c r="O187">
        <f t="shared" si="18"/>
        <v>62</v>
      </c>
      <c r="P187" t="str">
        <f t="shared" si="19"/>
        <v>Not Ready</v>
      </c>
      <c r="Q187" t="str">
        <f t="shared" si="20"/>
        <v>Medium</v>
      </c>
    </row>
    <row r="188" spans="1:17" x14ac:dyDescent="0.3">
      <c r="A188">
        <v>1187</v>
      </c>
      <c r="B188">
        <v>3</v>
      </c>
      <c r="C188">
        <v>10</v>
      </c>
      <c r="D188">
        <v>8</v>
      </c>
      <c r="E188">
        <v>6</v>
      </c>
      <c r="F188">
        <v>8</v>
      </c>
      <c r="G188">
        <v>6</v>
      </c>
      <c r="H188">
        <v>198</v>
      </c>
      <c r="I188">
        <v>5</v>
      </c>
      <c r="J188">
        <v>58</v>
      </c>
      <c r="K188">
        <f t="shared" si="14"/>
        <v>7</v>
      </c>
      <c r="L188">
        <f t="shared" si="15"/>
        <v>70</v>
      </c>
      <c r="M188">
        <f t="shared" si="16"/>
        <v>60</v>
      </c>
      <c r="N188">
        <f t="shared" si="17"/>
        <v>80</v>
      </c>
      <c r="O188">
        <f t="shared" si="18"/>
        <v>70</v>
      </c>
      <c r="P188" t="str">
        <f t="shared" si="19"/>
        <v>Needs Improvement</v>
      </c>
      <c r="Q188" t="str">
        <f t="shared" si="20"/>
        <v>Medium</v>
      </c>
    </row>
    <row r="189" spans="1:17" x14ac:dyDescent="0.3">
      <c r="A189">
        <v>1188</v>
      </c>
      <c r="B189">
        <v>3</v>
      </c>
      <c r="C189">
        <v>9</v>
      </c>
      <c r="D189">
        <v>5</v>
      </c>
      <c r="E189">
        <v>9</v>
      </c>
      <c r="F189">
        <v>9</v>
      </c>
      <c r="G189">
        <v>1</v>
      </c>
      <c r="H189">
        <v>279</v>
      </c>
      <c r="I189">
        <v>4</v>
      </c>
      <c r="J189">
        <v>74</v>
      </c>
      <c r="K189">
        <f t="shared" si="14"/>
        <v>7</v>
      </c>
      <c r="L189">
        <f t="shared" si="15"/>
        <v>70</v>
      </c>
      <c r="M189">
        <f t="shared" si="16"/>
        <v>80</v>
      </c>
      <c r="N189">
        <f t="shared" si="17"/>
        <v>45</v>
      </c>
      <c r="O189">
        <f t="shared" si="18"/>
        <v>66</v>
      </c>
      <c r="P189" t="str">
        <f t="shared" si="19"/>
        <v>Needs Improvement</v>
      </c>
      <c r="Q189" t="str">
        <f t="shared" si="20"/>
        <v>Medium</v>
      </c>
    </row>
    <row r="190" spans="1:17" x14ac:dyDescent="0.3">
      <c r="A190">
        <v>1189</v>
      </c>
      <c r="B190">
        <v>9</v>
      </c>
      <c r="C190">
        <v>2</v>
      </c>
      <c r="D190">
        <v>10</v>
      </c>
      <c r="E190">
        <v>1</v>
      </c>
      <c r="F190">
        <v>8</v>
      </c>
      <c r="G190">
        <v>2</v>
      </c>
      <c r="H190">
        <v>240</v>
      </c>
      <c r="I190">
        <v>2</v>
      </c>
      <c r="J190">
        <v>58</v>
      </c>
      <c r="K190">
        <f t="shared" si="14"/>
        <v>6</v>
      </c>
      <c r="L190">
        <f t="shared" si="15"/>
        <v>60</v>
      </c>
      <c r="M190">
        <f t="shared" si="16"/>
        <v>60</v>
      </c>
      <c r="N190">
        <f t="shared" si="17"/>
        <v>30</v>
      </c>
      <c r="O190">
        <f t="shared" si="18"/>
        <v>51</v>
      </c>
      <c r="P190" t="str">
        <f t="shared" si="19"/>
        <v>Needs Improvement</v>
      </c>
      <c r="Q190" t="str">
        <f t="shared" si="20"/>
        <v>Medium</v>
      </c>
    </row>
    <row r="191" spans="1:17" x14ac:dyDescent="0.3">
      <c r="A191">
        <v>1190</v>
      </c>
      <c r="B191">
        <v>6</v>
      </c>
      <c r="C191">
        <v>2</v>
      </c>
      <c r="D191">
        <v>2</v>
      </c>
      <c r="E191">
        <v>10</v>
      </c>
      <c r="F191">
        <v>3</v>
      </c>
      <c r="G191">
        <v>2</v>
      </c>
      <c r="H191">
        <v>412</v>
      </c>
      <c r="I191">
        <v>2</v>
      </c>
      <c r="J191">
        <v>64</v>
      </c>
      <c r="K191">
        <f t="shared" si="14"/>
        <v>4.5999999999999996</v>
      </c>
      <c r="L191">
        <f t="shared" si="15"/>
        <v>46</v>
      </c>
      <c r="M191">
        <f t="shared" si="16"/>
        <v>100</v>
      </c>
      <c r="N191">
        <f t="shared" si="17"/>
        <v>30</v>
      </c>
      <c r="O191">
        <f t="shared" si="18"/>
        <v>57</v>
      </c>
      <c r="P191" t="str">
        <f t="shared" si="19"/>
        <v>Needs Improvement</v>
      </c>
      <c r="Q191" t="str">
        <f t="shared" si="20"/>
        <v>Medium</v>
      </c>
    </row>
    <row r="192" spans="1:17" x14ac:dyDescent="0.3">
      <c r="A192">
        <v>1191</v>
      </c>
      <c r="B192">
        <v>8</v>
      </c>
      <c r="C192">
        <v>1</v>
      </c>
      <c r="D192">
        <v>5</v>
      </c>
      <c r="E192">
        <v>6</v>
      </c>
      <c r="F192">
        <v>10</v>
      </c>
      <c r="G192">
        <v>6</v>
      </c>
      <c r="H192">
        <v>160</v>
      </c>
      <c r="I192">
        <v>0</v>
      </c>
      <c r="J192">
        <v>58</v>
      </c>
      <c r="K192">
        <f t="shared" si="14"/>
        <v>6</v>
      </c>
      <c r="L192">
        <f t="shared" si="15"/>
        <v>60</v>
      </c>
      <c r="M192">
        <f t="shared" si="16"/>
        <v>60</v>
      </c>
      <c r="N192">
        <f t="shared" si="17"/>
        <v>30</v>
      </c>
      <c r="O192">
        <f t="shared" si="18"/>
        <v>51</v>
      </c>
      <c r="P192" t="str">
        <f t="shared" si="19"/>
        <v>Needs Improvement</v>
      </c>
      <c r="Q192" t="str">
        <f t="shared" si="20"/>
        <v>Medium</v>
      </c>
    </row>
    <row r="193" spans="1:17" x14ac:dyDescent="0.3">
      <c r="A193">
        <v>1192</v>
      </c>
      <c r="B193">
        <v>4</v>
      </c>
      <c r="C193">
        <v>9</v>
      </c>
      <c r="D193">
        <v>10</v>
      </c>
      <c r="E193">
        <v>6</v>
      </c>
      <c r="F193">
        <v>7</v>
      </c>
      <c r="G193">
        <v>3</v>
      </c>
      <c r="H193">
        <v>132</v>
      </c>
      <c r="I193">
        <v>2</v>
      </c>
      <c r="J193">
        <v>60</v>
      </c>
      <c r="K193">
        <f t="shared" si="14"/>
        <v>7.2</v>
      </c>
      <c r="L193">
        <f t="shared" si="15"/>
        <v>72</v>
      </c>
      <c r="M193">
        <f t="shared" si="16"/>
        <v>40</v>
      </c>
      <c r="N193">
        <f t="shared" si="17"/>
        <v>35</v>
      </c>
      <c r="O193">
        <f t="shared" si="18"/>
        <v>51</v>
      </c>
      <c r="P193" t="str">
        <f t="shared" si="19"/>
        <v>Needs Improvement</v>
      </c>
      <c r="Q193" t="str">
        <f t="shared" si="20"/>
        <v>Medium</v>
      </c>
    </row>
    <row r="194" spans="1:17" x14ac:dyDescent="0.3">
      <c r="A194">
        <v>1193</v>
      </c>
      <c r="B194">
        <v>5</v>
      </c>
      <c r="C194">
        <v>10</v>
      </c>
      <c r="D194">
        <v>4</v>
      </c>
      <c r="E194">
        <v>7</v>
      </c>
      <c r="F194">
        <v>5</v>
      </c>
      <c r="G194">
        <v>6</v>
      </c>
      <c r="H194">
        <v>334</v>
      </c>
      <c r="I194">
        <v>1</v>
      </c>
      <c r="J194">
        <v>53</v>
      </c>
      <c r="K194">
        <f t="shared" si="14"/>
        <v>6.2</v>
      </c>
      <c r="L194">
        <f t="shared" si="15"/>
        <v>62</v>
      </c>
      <c r="M194">
        <f t="shared" si="16"/>
        <v>80</v>
      </c>
      <c r="N194">
        <f t="shared" si="17"/>
        <v>40</v>
      </c>
      <c r="O194">
        <f t="shared" si="18"/>
        <v>61</v>
      </c>
      <c r="P194" t="str">
        <f t="shared" si="19"/>
        <v>Needs Improvement</v>
      </c>
      <c r="Q194" t="str">
        <f t="shared" si="20"/>
        <v>Medium</v>
      </c>
    </row>
    <row r="195" spans="1:17" x14ac:dyDescent="0.3">
      <c r="A195">
        <v>1194</v>
      </c>
      <c r="B195">
        <v>8</v>
      </c>
      <c r="C195">
        <v>2</v>
      </c>
      <c r="D195">
        <v>5</v>
      </c>
      <c r="E195">
        <v>9</v>
      </c>
      <c r="F195">
        <v>7</v>
      </c>
      <c r="G195">
        <v>7</v>
      </c>
      <c r="H195">
        <v>87</v>
      </c>
      <c r="I195">
        <v>4</v>
      </c>
      <c r="J195">
        <v>89</v>
      </c>
      <c r="K195">
        <f t="shared" ref="K195:K258" si="21">AVERAGE(B195:F195)</f>
        <v>6.2</v>
      </c>
      <c r="L195">
        <f t="shared" ref="L195:L258" si="22">K195*10</f>
        <v>62</v>
      </c>
      <c r="M195">
        <f t="shared" ref="M195:M258" si="23">IF(H195&gt;=400,100,IF(H195&gt;=250,80,IF(H195&gt;=150,60,40)))</f>
        <v>40</v>
      </c>
      <c r="N195">
        <f t="shared" ref="N195:N258" si="24">(G195*5)+(I195*10)</f>
        <v>75</v>
      </c>
      <c r="O195">
        <f t="shared" ref="O195:O258" si="25">ROUND((L195*0.4)+(M195*0.3)+(N195*0.3),0)</f>
        <v>59</v>
      </c>
      <c r="P195" t="str">
        <f t="shared" ref="P195:P258" si="26">IF(J195&gt;=75,"Placement Ready",IF(J195&gt;=50,"Needs Improvement","Not Ready"))</f>
        <v>Placement Ready</v>
      </c>
      <c r="Q195" t="str">
        <f t="shared" ref="Q195:Q258" si="27">IF(O195&lt;40,"Low",IF(O195&lt;=70,"Medium","High"))</f>
        <v>Medium</v>
      </c>
    </row>
    <row r="196" spans="1:17" x14ac:dyDescent="0.3">
      <c r="A196">
        <v>1195</v>
      </c>
      <c r="B196">
        <v>10</v>
      </c>
      <c r="C196">
        <v>5</v>
      </c>
      <c r="D196">
        <v>5</v>
      </c>
      <c r="E196">
        <v>5</v>
      </c>
      <c r="F196">
        <v>1</v>
      </c>
      <c r="G196">
        <v>5</v>
      </c>
      <c r="H196">
        <v>448</v>
      </c>
      <c r="I196">
        <v>4</v>
      </c>
      <c r="J196">
        <v>68</v>
      </c>
      <c r="K196">
        <f t="shared" si="21"/>
        <v>5.2</v>
      </c>
      <c r="L196">
        <f t="shared" si="22"/>
        <v>52</v>
      </c>
      <c r="M196">
        <f t="shared" si="23"/>
        <v>100</v>
      </c>
      <c r="N196">
        <f t="shared" si="24"/>
        <v>65</v>
      </c>
      <c r="O196">
        <f t="shared" si="25"/>
        <v>70</v>
      </c>
      <c r="P196" t="str">
        <f t="shared" si="26"/>
        <v>Needs Improvement</v>
      </c>
      <c r="Q196" t="str">
        <f t="shared" si="27"/>
        <v>Medium</v>
      </c>
    </row>
    <row r="197" spans="1:17" x14ac:dyDescent="0.3">
      <c r="A197">
        <v>1196</v>
      </c>
      <c r="B197">
        <v>4</v>
      </c>
      <c r="C197">
        <v>4</v>
      </c>
      <c r="D197">
        <v>9</v>
      </c>
      <c r="E197">
        <v>1</v>
      </c>
      <c r="F197">
        <v>5</v>
      </c>
      <c r="G197">
        <v>2</v>
      </c>
      <c r="H197">
        <v>235</v>
      </c>
      <c r="I197">
        <v>4</v>
      </c>
      <c r="J197">
        <v>93</v>
      </c>
      <c r="K197">
        <f t="shared" si="21"/>
        <v>4.5999999999999996</v>
      </c>
      <c r="L197">
        <f t="shared" si="22"/>
        <v>46</v>
      </c>
      <c r="M197">
        <f t="shared" si="23"/>
        <v>60</v>
      </c>
      <c r="N197">
        <f t="shared" si="24"/>
        <v>50</v>
      </c>
      <c r="O197">
        <f t="shared" si="25"/>
        <v>51</v>
      </c>
      <c r="P197" t="str">
        <f t="shared" si="26"/>
        <v>Placement Ready</v>
      </c>
      <c r="Q197" t="str">
        <f t="shared" si="27"/>
        <v>Medium</v>
      </c>
    </row>
    <row r="198" spans="1:17" x14ac:dyDescent="0.3">
      <c r="A198">
        <v>1197</v>
      </c>
      <c r="B198">
        <v>4</v>
      </c>
      <c r="C198">
        <v>1</v>
      </c>
      <c r="D198">
        <v>6</v>
      </c>
      <c r="E198">
        <v>2</v>
      </c>
      <c r="F198">
        <v>4</v>
      </c>
      <c r="G198">
        <v>1</v>
      </c>
      <c r="H198">
        <v>292</v>
      </c>
      <c r="I198">
        <v>4</v>
      </c>
      <c r="J198">
        <v>95</v>
      </c>
      <c r="K198">
        <f t="shared" si="21"/>
        <v>3.4</v>
      </c>
      <c r="L198">
        <f t="shared" si="22"/>
        <v>34</v>
      </c>
      <c r="M198">
        <f t="shared" si="23"/>
        <v>80</v>
      </c>
      <c r="N198">
        <f t="shared" si="24"/>
        <v>45</v>
      </c>
      <c r="O198">
        <f t="shared" si="25"/>
        <v>51</v>
      </c>
      <c r="P198" t="str">
        <f t="shared" si="26"/>
        <v>Placement Ready</v>
      </c>
      <c r="Q198" t="str">
        <f t="shared" si="27"/>
        <v>Medium</v>
      </c>
    </row>
    <row r="199" spans="1:17" x14ac:dyDescent="0.3">
      <c r="A199">
        <v>1198</v>
      </c>
      <c r="B199">
        <v>1</v>
      </c>
      <c r="C199">
        <v>2</v>
      </c>
      <c r="D199">
        <v>1</v>
      </c>
      <c r="E199">
        <v>2</v>
      </c>
      <c r="F199">
        <v>3</v>
      </c>
      <c r="G199">
        <v>3</v>
      </c>
      <c r="H199">
        <v>358</v>
      </c>
      <c r="I199">
        <v>2</v>
      </c>
      <c r="J199">
        <v>44</v>
      </c>
      <c r="K199">
        <f t="shared" si="21"/>
        <v>1.8</v>
      </c>
      <c r="L199">
        <f t="shared" si="22"/>
        <v>18</v>
      </c>
      <c r="M199">
        <f t="shared" si="23"/>
        <v>80</v>
      </c>
      <c r="N199">
        <f t="shared" si="24"/>
        <v>35</v>
      </c>
      <c r="O199">
        <f t="shared" si="25"/>
        <v>42</v>
      </c>
      <c r="P199" t="str">
        <f t="shared" si="26"/>
        <v>Not Ready</v>
      </c>
      <c r="Q199" t="str">
        <f t="shared" si="27"/>
        <v>Medium</v>
      </c>
    </row>
    <row r="200" spans="1:17" x14ac:dyDescent="0.3">
      <c r="A200">
        <v>1199</v>
      </c>
      <c r="B200">
        <v>9</v>
      </c>
      <c r="C200">
        <v>5</v>
      </c>
      <c r="D200">
        <v>2</v>
      </c>
      <c r="E200">
        <v>2</v>
      </c>
      <c r="F200">
        <v>10</v>
      </c>
      <c r="G200">
        <v>6</v>
      </c>
      <c r="H200">
        <v>102</v>
      </c>
      <c r="I200">
        <v>0</v>
      </c>
      <c r="J200">
        <v>71</v>
      </c>
      <c r="K200">
        <f t="shared" si="21"/>
        <v>5.6</v>
      </c>
      <c r="L200">
        <f t="shared" si="22"/>
        <v>56</v>
      </c>
      <c r="M200">
        <f t="shared" si="23"/>
        <v>40</v>
      </c>
      <c r="N200">
        <f t="shared" si="24"/>
        <v>30</v>
      </c>
      <c r="O200">
        <f t="shared" si="25"/>
        <v>43</v>
      </c>
      <c r="P200" t="str">
        <f t="shared" si="26"/>
        <v>Needs Improvement</v>
      </c>
      <c r="Q200" t="str">
        <f t="shared" si="27"/>
        <v>Medium</v>
      </c>
    </row>
    <row r="201" spans="1:17" x14ac:dyDescent="0.3">
      <c r="A201">
        <v>1200</v>
      </c>
      <c r="B201">
        <v>3</v>
      </c>
      <c r="C201">
        <v>3</v>
      </c>
      <c r="D201">
        <v>3</v>
      </c>
      <c r="E201">
        <v>7</v>
      </c>
      <c r="F201">
        <v>5</v>
      </c>
      <c r="G201">
        <v>6</v>
      </c>
      <c r="H201">
        <v>168</v>
      </c>
      <c r="I201">
        <v>2</v>
      </c>
      <c r="J201">
        <v>70</v>
      </c>
      <c r="K201">
        <f t="shared" si="21"/>
        <v>4.2</v>
      </c>
      <c r="L201">
        <f t="shared" si="22"/>
        <v>42</v>
      </c>
      <c r="M201">
        <f t="shared" si="23"/>
        <v>60</v>
      </c>
      <c r="N201">
        <f t="shared" si="24"/>
        <v>50</v>
      </c>
      <c r="O201">
        <f t="shared" si="25"/>
        <v>50</v>
      </c>
      <c r="P201" t="str">
        <f t="shared" si="26"/>
        <v>Needs Improvement</v>
      </c>
      <c r="Q201" t="str">
        <f t="shared" si="27"/>
        <v>Medium</v>
      </c>
    </row>
    <row r="202" spans="1:17" x14ac:dyDescent="0.3">
      <c r="A202">
        <v>1201</v>
      </c>
      <c r="B202">
        <v>7</v>
      </c>
      <c r="C202">
        <v>6</v>
      </c>
      <c r="D202">
        <v>9</v>
      </c>
      <c r="E202">
        <v>3</v>
      </c>
      <c r="F202">
        <v>5</v>
      </c>
      <c r="G202">
        <v>4</v>
      </c>
      <c r="H202">
        <v>289</v>
      </c>
      <c r="I202">
        <v>2</v>
      </c>
      <c r="J202">
        <v>65</v>
      </c>
      <c r="K202">
        <f t="shared" si="21"/>
        <v>6</v>
      </c>
      <c r="L202">
        <f t="shared" si="22"/>
        <v>60</v>
      </c>
      <c r="M202">
        <f t="shared" si="23"/>
        <v>80</v>
      </c>
      <c r="N202">
        <f t="shared" si="24"/>
        <v>40</v>
      </c>
      <c r="O202">
        <f t="shared" si="25"/>
        <v>60</v>
      </c>
      <c r="P202" t="str">
        <f t="shared" si="26"/>
        <v>Needs Improvement</v>
      </c>
      <c r="Q202" t="str">
        <f t="shared" si="27"/>
        <v>Medium</v>
      </c>
    </row>
    <row r="203" spans="1:17" x14ac:dyDescent="0.3">
      <c r="A203">
        <v>1202</v>
      </c>
      <c r="B203">
        <v>5</v>
      </c>
      <c r="C203">
        <v>7</v>
      </c>
      <c r="D203">
        <v>7</v>
      </c>
      <c r="E203">
        <v>9</v>
      </c>
      <c r="F203">
        <v>4</v>
      </c>
      <c r="G203">
        <v>8</v>
      </c>
      <c r="H203">
        <v>493</v>
      </c>
      <c r="I203">
        <v>5</v>
      </c>
      <c r="J203">
        <v>69</v>
      </c>
      <c r="K203">
        <f t="shared" si="21"/>
        <v>6.4</v>
      </c>
      <c r="L203">
        <f t="shared" si="22"/>
        <v>64</v>
      </c>
      <c r="M203">
        <f t="shared" si="23"/>
        <v>100</v>
      </c>
      <c r="N203">
        <f t="shared" si="24"/>
        <v>90</v>
      </c>
      <c r="O203">
        <f t="shared" si="25"/>
        <v>83</v>
      </c>
      <c r="P203" t="str">
        <f t="shared" si="26"/>
        <v>Needs Improvement</v>
      </c>
      <c r="Q203" t="str">
        <f t="shared" si="27"/>
        <v>High</v>
      </c>
    </row>
    <row r="204" spans="1:17" x14ac:dyDescent="0.3">
      <c r="A204">
        <v>1203</v>
      </c>
      <c r="B204">
        <v>2</v>
      </c>
      <c r="C204">
        <v>5</v>
      </c>
      <c r="D204">
        <v>9</v>
      </c>
      <c r="E204">
        <v>2</v>
      </c>
      <c r="F204">
        <v>9</v>
      </c>
      <c r="G204">
        <v>8</v>
      </c>
      <c r="H204">
        <v>178</v>
      </c>
      <c r="I204">
        <v>1</v>
      </c>
      <c r="J204">
        <v>84</v>
      </c>
      <c r="K204">
        <f t="shared" si="21"/>
        <v>5.4</v>
      </c>
      <c r="L204">
        <f t="shared" si="22"/>
        <v>54</v>
      </c>
      <c r="M204">
        <f t="shared" si="23"/>
        <v>60</v>
      </c>
      <c r="N204">
        <f t="shared" si="24"/>
        <v>50</v>
      </c>
      <c r="O204">
        <f t="shared" si="25"/>
        <v>55</v>
      </c>
      <c r="P204" t="str">
        <f t="shared" si="26"/>
        <v>Placement Ready</v>
      </c>
      <c r="Q204" t="str">
        <f t="shared" si="27"/>
        <v>Medium</v>
      </c>
    </row>
    <row r="205" spans="1:17" x14ac:dyDescent="0.3">
      <c r="A205">
        <v>1204</v>
      </c>
      <c r="B205">
        <v>7</v>
      </c>
      <c r="C205">
        <v>8</v>
      </c>
      <c r="D205">
        <v>4</v>
      </c>
      <c r="E205">
        <v>7</v>
      </c>
      <c r="F205">
        <v>9</v>
      </c>
      <c r="G205">
        <v>6</v>
      </c>
      <c r="H205">
        <v>159</v>
      </c>
      <c r="I205">
        <v>2</v>
      </c>
      <c r="J205">
        <v>44</v>
      </c>
      <c r="K205">
        <f t="shared" si="21"/>
        <v>7</v>
      </c>
      <c r="L205">
        <f t="shared" si="22"/>
        <v>70</v>
      </c>
      <c r="M205">
        <f t="shared" si="23"/>
        <v>60</v>
      </c>
      <c r="N205">
        <f t="shared" si="24"/>
        <v>50</v>
      </c>
      <c r="O205">
        <f t="shared" si="25"/>
        <v>61</v>
      </c>
      <c r="P205" t="str">
        <f t="shared" si="26"/>
        <v>Not Ready</v>
      </c>
      <c r="Q205" t="str">
        <f t="shared" si="27"/>
        <v>Medium</v>
      </c>
    </row>
    <row r="206" spans="1:17" x14ac:dyDescent="0.3">
      <c r="A206">
        <v>1205</v>
      </c>
      <c r="B206">
        <v>3</v>
      </c>
      <c r="C206">
        <v>10</v>
      </c>
      <c r="D206">
        <v>1</v>
      </c>
      <c r="E206">
        <v>9</v>
      </c>
      <c r="F206">
        <v>7</v>
      </c>
      <c r="G206">
        <v>0</v>
      </c>
      <c r="H206">
        <v>454</v>
      </c>
      <c r="I206">
        <v>3</v>
      </c>
      <c r="J206">
        <v>56</v>
      </c>
      <c r="K206">
        <f t="shared" si="21"/>
        <v>6</v>
      </c>
      <c r="L206">
        <f t="shared" si="22"/>
        <v>60</v>
      </c>
      <c r="M206">
        <f t="shared" si="23"/>
        <v>100</v>
      </c>
      <c r="N206">
        <f t="shared" si="24"/>
        <v>30</v>
      </c>
      <c r="O206">
        <f t="shared" si="25"/>
        <v>63</v>
      </c>
      <c r="P206" t="str">
        <f t="shared" si="26"/>
        <v>Needs Improvement</v>
      </c>
      <c r="Q206" t="str">
        <f t="shared" si="27"/>
        <v>Medium</v>
      </c>
    </row>
    <row r="207" spans="1:17" x14ac:dyDescent="0.3">
      <c r="A207">
        <v>1206</v>
      </c>
      <c r="B207">
        <v>10</v>
      </c>
      <c r="C207">
        <v>7</v>
      </c>
      <c r="D207">
        <v>6</v>
      </c>
      <c r="E207">
        <v>1</v>
      </c>
      <c r="F207">
        <v>6</v>
      </c>
      <c r="G207">
        <v>7</v>
      </c>
      <c r="H207">
        <v>275</v>
      </c>
      <c r="I207">
        <v>4</v>
      </c>
      <c r="J207">
        <v>76</v>
      </c>
      <c r="K207">
        <f t="shared" si="21"/>
        <v>6</v>
      </c>
      <c r="L207">
        <f t="shared" si="22"/>
        <v>60</v>
      </c>
      <c r="M207">
        <f t="shared" si="23"/>
        <v>80</v>
      </c>
      <c r="N207">
        <f t="shared" si="24"/>
        <v>75</v>
      </c>
      <c r="O207">
        <f t="shared" si="25"/>
        <v>71</v>
      </c>
      <c r="P207" t="str">
        <f t="shared" si="26"/>
        <v>Placement Ready</v>
      </c>
      <c r="Q207" t="str">
        <f t="shared" si="27"/>
        <v>High</v>
      </c>
    </row>
    <row r="208" spans="1:17" x14ac:dyDescent="0.3">
      <c r="A208">
        <v>1207</v>
      </c>
      <c r="B208">
        <v>2</v>
      </c>
      <c r="C208">
        <v>8</v>
      </c>
      <c r="D208">
        <v>7</v>
      </c>
      <c r="E208">
        <v>8</v>
      </c>
      <c r="F208">
        <v>1</v>
      </c>
      <c r="G208">
        <v>0</v>
      </c>
      <c r="H208">
        <v>384</v>
      </c>
      <c r="I208">
        <v>4</v>
      </c>
      <c r="J208">
        <v>61</v>
      </c>
      <c r="K208">
        <f t="shared" si="21"/>
        <v>5.2</v>
      </c>
      <c r="L208">
        <f t="shared" si="22"/>
        <v>52</v>
      </c>
      <c r="M208">
        <f t="shared" si="23"/>
        <v>80</v>
      </c>
      <c r="N208">
        <f t="shared" si="24"/>
        <v>40</v>
      </c>
      <c r="O208">
        <f t="shared" si="25"/>
        <v>57</v>
      </c>
      <c r="P208" t="str">
        <f t="shared" si="26"/>
        <v>Needs Improvement</v>
      </c>
      <c r="Q208" t="str">
        <f t="shared" si="27"/>
        <v>Medium</v>
      </c>
    </row>
    <row r="209" spans="1:17" x14ac:dyDescent="0.3">
      <c r="A209">
        <v>1208</v>
      </c>
      <c r="B209">
        <v>8</v>
      </c>
      <c r="C209">
        <v>1</v>
      </c>
      <c r="D209">
        <v>1</v>
      </c>
      <c r="E209">
        <v>4</v>
      </c>
      <c r="F209">
        <v>1</v>
      </c>
      <c r="G209">
        <v>2</v>
      </c>
      <c r="H209">
        <v>162</v>
      </c>
      <c r="I209">
        <v>4</v>
      </c>
      <c r="J209">
        <v>80</v>
      </c>
      <c r="K209">
        <f t="shared" si="21"/>
        <v>3</v>
      </c>
      <c r="L209">
        <f t="shared" si="22"/>
        <v>30</v>
      </c>
      <c r="M209">
        <f t="shared" si="23"/>
        <v>60</v>
      </c>
      <c r="N209">
        <f t="shared" si="24"/>
        <v>50</v>
      </c>
      <c r="O209">
        <f t="shared" si="25"/>
        <v>45</v>
      </c>
      <c r="P209" t="str">
        <f t="shared" si="26"/>
        <v>Placement Ready</v>
      </c>
      <c r="Q209" t="str">
        <f t="shared" si="27"/>
        <v>Medium</v>
      </c>
    </row>
    <row r="210" spans="1:17" x14ac:dyDescent="0.3">
      <c r="A210">
        <v>1209</v>
      </c>
      <c r="B210">
        <v>4</v>
      </c>
      <c r="C210">
        <v>3</v>
      </c>
      <c r="D210">
        <v>4</v>
      </c>
      <c r="E210">
        <v>8</v>
      </c>
      <c r="F210">
        <v>3</v>
      </c>
      <c r="G210">
        <v>0</v>
      </c>
      <c r="H210">
        <v>313</v>
      </c>
      <c r="I210">
        <v>2</v>
      </c>
      <c r="J210">
        <v>59</v>
      </c>
      <c r="K210">
        <f t="shared" si="21"/>
        <v>4.4000000000000004</v>
      </c>
      <c r="L210">
        <f t="shared" si="22"/>
        <v>44</v>
      </c>
      <c r="M210">
        <f t="shared" si="23"/>
        <v>80</v>
      </c>
      <c r="N210">
        <f t="shared" si="24"/>
        <v>20</v>
      </c>
      <c r="O210">
        <f t="shared" si="25"/>
        <v>48</v>
      </c>
      <c r="P210" t="str">
        <f t="shared" si="26"/>
        <v>Needs Improvement</v>
      </c>
      <c r="Q210" t="str">
        <f t="shared" si="27"/>
        <v>Medium</v>
      </c>
    </row>
    <row r="211" spans="1:17" x14ac:dyDescent="0.3">
      <c r="A211">
        <v>1210</v>
      </c>
      <c r="B211">
        <v>9</v>
      </c>
      <c r="C211">
        <v>5</v>
      </c>
      <c r="D211">
        <v>6</v>
      </c>
      <c r="E211">
        <v>3</v>
      </c>
      <c r="F211">
        <v>3</v>
      </c>
      <c r="G211">
        <v>1</v>
      </c>
      <c r="H211">
        <v>391</v>
      </c>
      <c r="I211">
        <v>2</v>
      </c>
      <c r="J211">
        <v>74</v>
      </c>
      <c r="K211">
        <f t="shared" si="21"/>
        <v>5.2</v>
      </c>
      <c r="L211">
        <f t="shared" si="22"/>
        <v>52</v>
      </c>
      <c r="M211">
        <f t="shared" si="23"/>
        <v>80</v>
      </c>
      <c r="N211">
        <f t="shared" si="24"/>
        <v>25</v>
      </c>
      <c r="O211">
        <f t="shared" si="25"/>
        <v>52</v>
      </c>
      <c r="P211" t="str">
        <f t="shared" si="26"/>
        <v>Needs Improvement</v>
      </c>
      <c r="Q211" t="str">
        <f t="shared" si="27"/>
        <v>Medium</v>
      </c>
    </row>
    <row r="212" spans="1:17" x14ac:dyDescent="0.3">
      <c r="A212">
        <v>1211</v>
      </c>
      <c r="B212">
        <v>10</v>
      </c>
      <c r="C212">
        <v>5</v>
      </c>
      <c r="D212">
        <v>3</v>
      </c>
      <c r="E212">
        <v>6</v>
      </c>
      <c r="F212">
        <v>1</v>
      </c>
      <c r="G212">
        <v>4</v>
      </c>
      <c r="H212">
        <v>253</v>
      </c>
      <c r="I212">
        <v>4</v>
      </c>
      <c r="J212">
        <v>89</v>
      </c>
      <c r="K212">
        <f t="shared" si="21"/>
        <v>5</v>
      </c>
      <c r="L212">
        <f t="shared" si="22"/>
        <v>50</v>
      </c>
      <c r="M212">
        <f t="shared" si="23"/>
        <v>80</v>
      </c>
      <c r="N212">
        <f t="shared" si="24"/>
        <v>60</v>
      </c>
      <c r="O212">
        <f t="shared" si="25"/>
        <v>62</v>
      </c>
      <c r="P212" t="str">
        <f t="shared" si="26"/>
        <v>Placement Ready</v>
      </c>
      <c r="Q212" t="str">
        <f t="shared" si="27"/>
        <v>Medium</v>
      </c>
    </row>
    <row r="213" spans="1:17" x14ac:dyDescent="0.3">
      <c r="A213">
        <v>1212</v>
      </c>
      <c r="B213">
        <v>8</v>
      </c>
      <c r="C213">
        <v>5</v>
      </c>
      <c r="D213">
        <v>7</v>
      </c>
      <c r="E213">
        <v>8</v>
      </c>
      <c r="F213">
        <v>4</v>
      </c>
      <c r="G213">
        <v>5</v>
      </c>
      <c r="H213">
        <v>51</v>
      </c>
      <c r="I213">
        <v>2</v>
      </c>
      <c r="J213">
        <v>69</v>
      </c>
      <c r="K213">
        <f t="shared" si="21"/>
        <v>6.4</v>
      </c>
      <c r="L213">
        <f t="shared" si="22"/>
        <v>64</v>
      </c>
      <c r="M213">
        <f t="shared" si="23"/>
        <v>40</v>
      </c>
      <c r="N213">
        <f t="shared" si="24"/>
        <v>45</v>
      </c>
      <c r="O213">
        <f t="shared" si="25"/>
        <v>51</v>
      </c>
      <c r="P213" t="str">
        <f t="shared" si="26"/>
        <v>Needs Improvement</v>
      </c>
      <c r="Q213" t="str">
        <f t="shared" si="27"/>
        <v>Medium</v>
      </c>
    </row>
    <row r="214" spans="1:17" x14ac:dyDescent="0.3">
      <c r="A214">
        <v>1213</v>
      </c>
      <c r="B214">
        <v>6</v>
      </c>
      <c r="C214">
        <v>10</v>
      </c>
      <c r="D214">
        <v>10</v>
      </c>
      <c r="E214">
        <v>3</v>
      </c>
      <c r="F214">
        <v>8</v>
      </c>
      <c r="G214">
        <v>4</v>
      </c>
      <c r="H214">
        <v>189</v>
      </c>
      <c r="I214">
        <v>0</v>
      </c>
      <c r="J214">
        <v>41</v>
      </c>
      <c r="K214">
        <f t="shared" si="21"/>
        <v>7.4</v>
      </c>
      <c r="L214">
        <f t="shared" si="22"/>
        <v>74</v>
      </c>
      <c r="M214">
        <f t="shared" si="23"/>
        <v>60</v>
      </c>
      <c r="N214">
        <f t="shared" si="24"/>
        <v>20</v>
      </c>
      <c r="O214">
        <f t="shared" si="25"/>
        <v>54</v>
      </c>
      <c r="P214" t="str">
        <f t="shared" si="26"/>
        <v>Not Ready</v>
      </c>
      <c r="Q214" t="str">
        <f t="shared" si="27"/>
        <v>Medium</v>
      </c>
    </row>
    <row r="215" spans="1:17" x14ac:dyDescent="0.3">
      <c r="A215">
        <v>1214</v>
      </c>
      <c r="B215">
        <v>4</v>
      </c>
      <c r="C215">
        <v>10</v>
      </c>
      <c r="D215">
        <v>1</v>
      </c>
      <c r="E215">
        <v>4</v>
      </c>
      <c r="F215">
        <v>5</v>
      </c>
      <c r="G215">
        <v>3</v>
      </c>
      <c r="H215">
        <v>249</v>
      </c>
      <c r="I215">
        <v>4</v>
      </c>
      <c r="J215">
        <v>76</v>
      </c>
      <c r="K215">
        <f t="shared" si="21"/>
        <v>4.8</v>
      </c>
      <c r="L215">
        <f t="shared" si="22"/>
        <v>48</v>
      </c>
      <c r="M215">
        <f t="shared" si="23"/>
        <v>60</v>
      </c>
      <c r="N215">
        <f t="shared" si="24"/>
        <v>55</v>
      </c>
      <c r="O215">
        <f t="shared" si="25"/>
        <v>54</v>
      </c>
      <c r="P215" t="str">
        <f t="shared" si="26"/>
        <v>Placement Ready</v>
      </c>
      <c r="Q215" t="str">
        <f t="shared" si="27"/>
        <v>Medium</v>
      </c>
    </row>
    <row r="216" spans="1:17" x14ac:dyDescent="0.3">
      <c r="A216">
        <v>1215</v>
      </c>
      <c r="B216">
        <v>3</v>
      </c>
      <c r="C216">
        <v>3</v>
      </c>
      <c r="D216">
        <v>8</v>
      </c>
      <c r="E216">
        <v>3</v>
      </c>
      <c r="F216">
        <v>3</v>
      </c>
      <c r="G216">
        <v>1</v>
      </c>
      <c r="H216">
        <v>200</v>
      </c>
      <c r="I216">
        <v>0</v>
      </c>
      <c r="J216">
        <v>42</v>
      </c>
      <c r="K216">
        <f t="shared" si="21"/>
        <v>4</v>
      </c>
      <c r="L216">
        <f t="shared" si="22"/>
        <v>40</v>
      </c>
      <c r="M216">
        <f t="shared" si="23"/>
        <v>60</v>
      </c>
      <c r="N216">
        <f t="shared" si="24"/>
        <v>5</v>
      </c>
      <c r="O216">
        <f t="shared" si="25"/>
        <v>36</v>
      </c>
      <c r="P216" t="str">
        <f t="shared" si="26"/>
        <v>Not Ready</v>
      </c>
      <c r="Q216" t="str">
        <f t="shared" si="27"/>
        <v>Low</v>
      </c>
    </row>
    <row r="217" spans="1:17" x14ac:dyDescent="0.3">
      <c r="A217">
        <v>1216</v>
      </c>
      <c r="B217">
        <v>7</v>
      </c>
      <c r="C217">
        <v>10</v>
      </c>
      <c r="D217">
        <v>6</v>
      </c>
      <c r="E217">
        <v>2</v>
      </c>
      <c r="F217">
        <v>2</v>
      </c>
      <c r="G217">
        <v>4</v>
      </c>
      <c r="H217">
        <v>477</v>
      </c>
      <c r="I217">
        <v>4</v>
      </c>
      <c r="J217">
        <v>80</v>
      </c>
      <c r="K217">
        <f t="shared" si="21"/>
        <v>5.4</v>
      </c>
      <c r="L217">
        <f t="shared" si="22"/>
        <v>54</v>
      </c>
      <c r="M217">
        <f t="shared" si="23"/>
        <v>100</v>
      </c>
      <c r="N217">
        <f t="shared" si="24"/>
        <v>60</v>
      </c>
      <c r="O217">
        <f t="shared" si="25"/>
        <v>70</v>
      </c>
      <c r="P217" t="str">
        <f t="shared" si="26"/>
        <v>Placement Ready</v>
      </c>
      <c r="Q217" t="str">
        <f t="shared" si="27"/>
        <v>Medium</v>
      </c>
    </row>
    <row r="218" spans="1:17" x14ac:dyDescent="0.3">
      <c r="A218">
        <v>1217</v>
      </c>
      <c r="B218">
        <v>10</v>
      </c>
      <c r="C218">
        <v>5</v>
      </c>
      <c r="D218">
        <v>2</v>
      </c>
      <c r="E218">
        <v>5</v>
      </c>
      <c r="F218">
        <v>7</v>
      </c>
      <c r="G218">
        <v>8</v>
      </c>
      <c r="H218">
        <v>192</v>
      </c>
      <c r="I218">
        <v>1</v>
      </c>
      <c r="J218">
        <v>94</v>
      </c>
      <c r="K218">
        <f t="shared" si="21"/>
        <v>5.8</v>
      </c>
      <c r="L218">
        <f t="shared" si="22"/>
        <v>58</v>
      </c>
      <c r="M218">
        <f t="shared" si="23"/>
        <v>60</v>
      </c>
      <c r="N218">
        <f t="shared" si="24"/>
        <v>50</v>
      </c>
      <c r="O218">
        <f t="shared" si="25"/>
        <v>56</v>
      </c>
      <c r="P218" t="str">
        <f t="shared" si="26"/>
        <v>Placement Ready</v>
      </c>
      <c r="Q218" t="str">
        <f t="shared" si="27"/>
        <v>Medium</v>
      </c>
    </row>
    <row r="219" spans="1:17" x14ac:dyDescent="0.3">
      <c r="A219">
        <v>1218</v>
      </c>
      <c r="B219">
        <v>5</v>
      </c>
      <c r="C219">
        <v>2</v>
      </c>
      <c r="D219">
        <v>2</v>
      </c>
      <c r="E219">
        <v>5</v>
      </c>
      <c r="F219">
        <v>8</v>
      </c>
      <c r="G219">
        <v>2</v>
      </c>
      <c r="H219">
        <v>205</v>
      </c>
      <c r="I219">
        <v>1</v>
      </c>
      <c r="J219">
        <v>69</v>
      </c>
      <c r="K219">
        <f t="shared" si="21"/>
        <v>4.4000000000000004</v>
      </c>
      <c r="L219">
        <f t="shared" si="22"/>
        <v>44</v>
      </c>
      <c r="M219">
        <f t="shared" si="23"/>
        <v>60</v>
      </c>
      <c r="N219">
        <f t="shared" si="24"/>
        <v>20</v>
      </c>
      <c r="O219">
        <f t="shared" si="25"/>
        <v>42</v>
      </c>
      <c r="P219" t="str">
        <f t="shared" si="26"/>
        <v>Needs Improvement</v>
      </c>
      <c r="Q219" t="str">
        <f t="shared" si="27"/>
        <v>Medium</v>
      </c>
    </row>
    <row r="220" spans="1:17" x14ac:dyDescent="0.3">
      <c r="A220">
        <v>1219</v>
      </c>
      <c r="B220">
        <v>1</v>
      </c>
      <c r="C220">
        <v>9</v>
      </c>
      <c r="D220">
        <v>6</v>
      </c>
      <c r="E220">
        <v>9</v>
      </c>
      <c r="F220">
        <v>3</v>
      </c>
      <c r="G220">
        <v>0</v>
      </c>
      <c r="H220">
        <v>205</v>
      </c>
      <c r="I220">
        <v>2</v>
      </c>
      <c r="J220">
        <v>56</v>
      </c>
      <c r="K220">
        <f t="shared" si="21"/>
        <v>5.6</v>
      </c>
      <c r="L220">
        <f t="shared" si="22"/>
        <v>56</v>
      </c>
      <c r="M220">
        <f t="shared" si="23"/>
        <v>60</v>
      </c>
      <c r="N220">
        <f t="shared" si="24"/>
        <v>20</v>
      </c>
      <c r="O220">
        <f t="shared" si="25"/>
        <v>46</v>
      </c>
      <c r="P220" t="str">
        <f t="shared" si="26"/>
        <v>Needs Improvement</v>
      </c>
      <c r="Q220" t="str">
        <f t="shared" si="27"/>
        <v>Medium</v>
      </c>
    </row>
    <row r="221" spans="1:17" x14ac:dyDescent="0.3">
      <c r="A221">
        <v>1220</v>
      </c>
      <c r="B221">
        <v>2</v>
      </c>
      <c r="C221">
        <v>7</v>
      </c>
      <c r="D221">
        <v>1</v>
      </c>
      <c r="E221">
        <v>1</v>
      </c>
      <c r="F221">
        <v>2</v>
      </c>
      <c r="G221">
        <v>6</v>
      </c>
      <c r="H221">
        <v>53</v>
      </c>
      <c r="I221">
        <v>2</v>
      </c>
      <c r="J221">
        <v>60</v>
      </c>
      <c r="K221">
        <f t="shared" si="21"/>
        <v>2.6</v>
      </c>
      <c r="L221">
        <f t="shared" si="22"/>
        <v>26</v>
      </c>
      <c r="M221">
        <f t="shared" si="23"/>
        <v>40</v>
      </c>
      <c r="N221">
        <f t="shared" si="24"/>
        <v>50</v>
      </c>
      <c r="O221">
        <f t="shared" si="25"/>
        <v>37</v>
      </c>
      <c r="P221" t="str">
        <f t="shared" si="26"/>
        <v>Needs Improvement</v>
      </c>
      <c r="Q221" t="str">
        <f t="shared" si="27"/>
        <v>Low</v>
      </c>
    </row>
    <row r="222" spans="1:17" x14ac:dyDescent="0.3">
      <c r="A222">
        <v>1221</v>
      </c>
      <c r="B222">
        <v>3</v>
      </c>
      <c r="C222">
        <v>8</v>
      </c>
      <c r="D222">
        <v>1</v>
      </c>
      <c r="E222">
        <v>8</v>
      </c>
      <c r="F222">
        <v>10</v>
      </c>
      <c r="G222">
        <v>7</v>
      </c>
      <c r="H222">
        <v>301</v>
      </c>
      <c r="I222">
        <v>4</v>
      </c>
      <c r="J222">
        <v>45</v>
      </c>
      <c r="K222">
        <f t="shared" si="21"/>
        <v>6</v>
      </c>
      <c r="L222">
        <f t="shared" si="22"/>
        <v>60</v>
      </c>
      <c r="M222">
        <f t="shared" si="23"/>
        <v>80</v>
      </c>
      <c r="N222">
        <f t="shared" si="24"/>
        <v>75</v>
      </c>
      <c r="O222">
        <f t="shared" si="25"/>
        <v>71</v>
      </c>
      <c r="P222" t="str">
        <f t="shared" si="26"/>
        <v>Not Ready</v>
      </c>
      <c r="Q222" t="str">
        <f t="shared" si="27"/>
        <v>High</v>
      </c>
    </row>
    <row r="223" spans="1:17" x14ac:dyDescent="0.3">
      <c r="A223">
        <v>1222</v>
      </c>
      <c r="B223">
        <v>10</v>
      </c>
      <c r="C223">
        <v>1</v>
      </c>
      <c r="D223">
        <v>10</v>
      </c>
      <c r="E223">
        <v>8</v>
      </c>
      <c r="F223">
        <v>1</v>
      </c>
      <c r="G223">
        <v>8</v>
      </c>
      <c r="H223">
        <v>175</v>
      </c>
      <c r="I223">
        <v>0</v>
      </c>
      <c r="J223">
        <v>84</v>
      </c>
      <c r="K223">
        <f t="shared" si="21"/>
        <v>6</v>
      </c>
      <c r="L223">
        <f t="shared" si="22"/>
        <v>60</v>
      </c>
      <c r="M223">
        <f t="shared" si="23"/>
        <v>60</v>
      </c>
      <c r="N223">
        <f t="shared" si="24"/>
        <v>40</v>
      </c>
      <c r="O223">
        <f t="shared" si="25"/>
        <v>54</v>
      </c>
      <c r="P223" t="str">
        <f t="shared" si="26"/>
        <v>Placement Ready</v>
      </c>
      <c r="Q223" t="str">
        <f t="shared" si="27"/>
        <v>Medium</v>
      </c>
    </row>
    <row r="224" spans="1:17" x14ac:dyDescent="0.3">
      <c r="A224">
        <v>1223</v>
      </c>
      <c r="B224">
        <v>5</v>
      </c>
      <c r="C224">
        <v>6</v>
      </c>
      <c r="D224">
        <v>3</v>
      </c>
      <c r="E224">
        <v>2</v>
      </c>
      <c r="F224">
        <v>9</v>
      </c>
      <c r="G224">
        <v>8</v>
      </c>
      <c r="H224">
        <v>91</v>
      </c>
      <c r="I224">
        <v>3</v>
      </c>
      <c r="J224">
        <v>67</v>
      </c>
      <c r="K224">
        <f t="shared" si="21"/>
        <v>5</v>
      </c>
      <c r="L224">
        <f t="shared" si="22"/>
        <v>50</v>
      </c>
      <c r="M224">
        <f t="shared" si="23"/>
        <v>40</v>
      </c>
      <c r="N224">
        <f t="shared" si="24"/>
        <v>70</v>
      </c>
      <c r="O224">
        <f t="shared" si="25"/>
        <v>53</v>
      </c>
      <c r="P224" t="str">
        <f t="shared" si="26"/>
        <v>Needs Improvement</v>
      </c>
      <c r="Q224" t="str">
        <f t="shared" si="27"/>
        <v>Medium</v>
      </c>
    </row>
    <row r="225" spans="1:17" x14ac:dyDescent="0.3">
      <c r="A225">
        <v>1224</v>
      </c>
      <c r="B225">
        <v>2</v>
      </c>
      <c r="C225">
        <v>7</v>
      </c>
      <c r="D225">
        <v>1</v>
      </c>
      <c r="E225">
        <v>5</v>
      </c>
      <c r="F225">
        <v>9</v>
      </c>
      <c r="G225">
        <v>7</v>
      </c>
      <c r="H225">
        <v>129</v>
      </c>
      <c r="I225">
        <v>5</v>
      </c>
      <c r="J225">
        <v>45</v>
      </c>
      <c r="K225">
        <f t="shared" si="21"/>
        <v>4.8</v>
      </c>
      <c r="L225">
        <f t="shared" si="22"/>
        <v>48</v>
      </c>
      <c r="M225">
        <f t="shared" si="23"/>
        <v>40</v>
      </c>
      <c r="N225">
        <f t="shared" si="24"/>
        <v>85</v>
      </c>
      <c r="O225">
        <f t="shared" si="25"/>
        <v>57</v>
      </c>
      <c r="P225" t="str">
        <f t="shared" si="26"/>
        <v>Not Ready</v>
      </c>
      <c r="Q225" t="str">
        <f t="shared" si="27"/>
        <v>Medium</v>
      </c>
    </row>
    <row r="226" spans="1:17" x14ac:dyDescent="0.3">
      <c r="A226">
        <v>1225</v>
      </c>
      <c r="B226">
        <v>10</v>
      </c>
      <c r="C226">
        <v>5</v>
      </c>
      <c r="D226">
        <v>10</v>
      </c>
      <c r="E226">
        <v>10</v>
      </c>
      <c r="F226">
        <v>1</v>
      </c>
      <c r="G226">
        <v>5</v>
      </c>
      <c r="H226">
        <v>138</v>
      </c>
      <c r="I226">
        <v>4</v>
      </c>
      <c r="J226">
        <v>70</v>
      </c>
      <c r="K226">
        <f t="shared" si="21"/>
        <v>7.2</v>
      </c>
      <c r="L226">
        <f t="shared" si="22"/>
        <v>72</v>
      </c>
      <c r="M226">
        <f t="shared" si="23"/>
        <v>40</v>
      </c>
      <c r="N226">
        <f t="shared" si="24"/>
        <v>65</v>
      </c>
      <c r="O226">
        <f t="shared" si="25"/>
        <v>60</v>
      </c>
      <c r="P226" t="str">
        <f t="shared" si="26"/>
        <v>Needs Improvement</v>
      </c>
      <c r="Q226" t="str">
        <f t="shared" si="27"/>
        <v>Medium</v>
      </c>
    </row>
    <row r="227" spans="1:17" x14ac:dyDescent="0.3">
      <c r="A227">
        <v>1226</v>
      </c>
      <c r="B227">
        <v>3</v>
      </c>
      <c r="C227">
        <v>8</v>
      </c>
      <c r="D227">
        <v>9</v>
      </c>
      <c r="E227">
        <v>2</v>
      </c>
      <c r="F227">
        <v>4</v>
      </c>
      <c r="G227">
        <v>3</v>
      </c>
      <c r="H227">
        <v>412</v>
      </c>
      <c r="I227">
        <v>5</v>
      </c>
      <c r="J227">
        <v>57</v>
      </c>
      <c r="K227">
        <f t="shared" si="21"/>
        <v>5.2</v>
      </c>
      <c r="L227">
        <f t="shared" si="22"/>
        <v>52</v>
      </c>
      <c r="M227">
        <f t="shared" si="23"/>
        <v>100</v>
      </c>
      <c r="N227">
        <f t="shared" si="24"/>
        <v>65</v>
      </c>
      <c r="O227">
        <f t="shared" si="25"/>
        <v>70</v>
      </c>
      <c r="P227" t="str">
        <f t="shared" si="26"/>
        <v>Needs Improvement</v>
      </c>
      <c r="Q227" t="str">
        <f t="shared" si="27"/>
        <v>Medium</v>
      </c>
    </row>
    <row r="228" spans="1:17" x14ac:dyDescent="0.3">
      <c r="A228">
        <v>1227</v>
      </c>
      <c r="B228">
        <v>5</v>
      </c>
      <c r="C228">
        <v>10</v>
      </c>
      <c r="D228">
        <v>3</v>
      </c>
      <c r="E228">
        <v>5</v>
      </c>
      <c r="F228">
        <v>6</v>
      </c>
      <c r="G228">
        <v>8</v>
      </c>
      <c r="H228">
        <v>104</v>
      </c>
      <c r="I228">
        <v>4</v>
      </c>
      <c r="J228">
        <v>44</v>
      </c>
      <c r="K228">
        <f t="shared" si="21"/>
        <v>5.8</v>
      </c>
      <c r="L228">
        <f t="shared" si="22"/>
        <v>58</v>
      </c>
      <c r="M228">
        <f t="shared" si="23"/>
        <v>40</v>
      </c>
      <c r="N228">
        <f t="shared" si="24"/>
        <v>80</v>
      </c>
      <c r="O228">
        <f t="shared" si="25"/>
        <v>59</v>
      </c>
      <c r="P228" t="str">
        <f t="shared" si="26"/>
        <v>Not Ready</v>
      </c>
      <c r="Q228" t="str">
        <f t="shared" si="27"/>
        <v>Medium</v>
      </c>
    </row>
    <row r="229" spans="1:17" x14ac:dyDescent="0.3">
      <c r="A229">
        <v>1228</v>
      </c>
      <c r="B229">
        <v>2</v>
      </c>
      <c r="C229">
        <v>5</v>
      </c>
      <c r="D229">
        <v>7</v>
      </c>
      <c r="E229">
        <v>1</v>
      </c>
      <c r="F229">
        <v>2</v>
      </c>
      <c r="G229">
        <v>1</v>
      </c>
      <c r="H229">
        <v>134</v>
      </c>
      <c r="I229">
        <v>2</v>
      </c>
      <c r="J229">
        <v>77</v>
      </c>
      <c r="K229">
        <f t="shared" si="21"/>
        <v>3.4</v>
      </c>
      <c r="L229">
        <f t="shared" si="22"/>
        <v>34</v>
      </c>
      <c r="M229">
        <f t="shared" si="23"/>
        <v>40</v>
      </c>
      <c r="N229">
        <f t="shared" si="24"/>
        <v>25</v>
      </c>
      <c r="O229">
        <f t="shared" si="25"/>
        <v>33</v>
      </c>
      <c r="P229" t="str">
        <f t="shared" si="26"/>
        <v>Placement Ready</v>
      </c>
      <c r="Q229" t="str">
        <f t="shared" si="27"/>
        <v>Low</v>
      </c>
    </row>
    <row r="230" spans="1:17" x14ac:dyDescent="0.3">
      <c r="A230">
        <v>1229</v>
      </c>
      <c r="B230">
        <v>1</v>
      </c>
      <c r="C230">
        <v>9</v>
      </c>
      <c r="D230">
        <v>8</v>
      </c>
      <c r="E230">
        <v>5</v>
      </c>
      <c r="F230">
        <v>5</v>
      </c>
      <c r="G230">
        <v>4</v>
      </c>
      <c r="H230">
        <v>251</v>
      </c>
      <c r="I230">
        <v>2</v>
      </c>
      <c r="J230">
        <v>65</v>
      </c>
      <c r="K230">
        <f t="shared" si="21"/>
        <v>5.6</v>
      </c>
      <c r="L230">
        <f t="shared" si="22"/>
        <v>56</v>
      </c>
      <c r="M230">
        <f t="shared" si="23"/>
        <v>80</v>
      </c>
      <c r="N230">
        <f t="shared" si="24"/>
        <v>40</v>
      </c>
      <c r="O230">
        <f t="shared" si="25"/>
        <v>58</v>
      </c>
      <c r="P230" t="str">
        <f t="shared" si="26"/>
        <v>Needs Improvement</v>
      </c>
      <c r="Q230" t="str">
        <f t="shared" si="27"/>
        <v>Medium</v>
      </c>
    </row>
    <row r="231" spans="1:17" x14ac:dyDescent="0.3">
      <c r="A231">
        <v>1230</v>
      </c>
      <c r="B231">
        <v>8</v>
      </c>
      <c r="C231">
        <v>10</v>
      </c>
      <c r="D231">
        <v>10</v>
      </c>
      <c r="E231">
        <v>9</v>
      </c>
      <c r="F231">
        <v>5</v>
      </c>
      <c r="G231">
        <v>6</v>
      </c>
      <c r="H231">
        <v>233</v>
      </c>
      <c r="I231">
        <v>0</v>
      </c>
      <c r="J231">
        <v>93</v>
      </c>
      <c r="K231">
        <f t="shared" si="21"/>
        <v>8.4</v>
      </c>
      <c r="L231">
        <f t="shared" si="22"/>
        <v>84</v>
      </c>
      <c r="M231">
        <f t="shared" si="23"/>
        <v>60</v>
      </c>
      <c r="N231">
        <f t="shared" si="24"/>
        <v>30</v>
      </c>
      <c r="O231">
        <f t="shared" si="25"/>
        <v>61</v>
      </c>
      <c r="P231" t="str">
        <f t="shared" si="26"/>
        <v>Placement Ready</v>
      </c>
      <c r="Q231" t="str">
        <f t="shared" si="27"/>
        <v>Medium</v>
      </c>
    </row>
    <row r="232" spans="1:17" x14ac:dyDescent="0.3">
      <c r="A232">
        <v>1231</v>
      </c>
      <c r="B232">
        <v>6</v>
      </c>
      <c r="C232">
        <v>3</v>
      </c>
      <c r="D232">
        <v>7</v>
      </c>
      <c r="E232">
        <v>1</v>
      </c>
      <c r="F232">
        <v>3</v>
      </c>
      <c r="G232">
        <v>7</v>
      </c>
      <c r="H232">
        <v>345</v>
      </c>
      <c r="I232">
        <v>0</v>
      </c>
      <c r="J232">
        <v>66</v>
      </c>
      <c r="K232">
        <f t="shared" si="21"/>
        <v>4</v>
      </c>
      <c r="L232">
        <f t="shared" si="22"/>
        <v>40</v>
      </c>
      <c r="M232">
        <f t="shared" si="23"/>
        <v>80</v>
      </c>
      <c r="N232">
        <f t="shared" si="24"/>
        <v>35</v>
      </c>
      <c r="O232">
        <f t="shared" si="25"/>
        <v>51</v>
      </c>
      <c r="P232" t="str">
        <f t="shared" si="26"/>
        <v>Needs Improvement</v>
      </c>
      <c r="Q232" t="str">
        <f t="shared" si="27"/>
        <v>Medium</v>
      </c>
    </row>
    <row r="233" spans="1:17" x14ac:dyDescent="0.3">
      <c r="A233">
        <v>1232</v>
      </c>
      <c r="B233">
        <v>8</v>
      </c>
      <c r="C233">
        <v>8</v>
      </c>
      <c r="D233">
        <v>6</v>
      </c>
      <c r="E233">
        <v>4</v>
      </c>
      <c r="F233">
        <v>7</v>
      </c>
      <c r="G233">
        <v>6</v>
      </c>
      <c r="H233">
        <v>441</v>
      </c>
      <c r="I233">
        <v>2</v>
      </c>
      <c r="J233">
        <v>89</v>
      </c>
      <c r="K233">
        <f t="shared" si="21"/>
        <v>6.6</v>
      </c>
      <c r="L233">
        <f t="shared" si="22"/>
        <v>66</v>
      </c>
      <c r="M233">
        <f t="shared" si="23"/>
        <v>100</v>
      </c>
      <c r="N233">
        <f t="shared" si="24"/>
        <v>50</v>
      </c>
      <c r="O233">
        <f t="shared" si="25"/>
        <v>71</v>
      </c>
      <c r="P233" t="str">
        <f t="shared" si="26"/>
        <v>Placement Ready</v>
      </c>
      <c r="Q233" t="str">
        <f t="shared" si="27"/>
        <v>High</v>
      </c>
    </row>
    <row r="234" spans="1:17" x14ac:dyDescent="0.3">
      <c r="A234">
        <v>1233</v>
      </c>
      <c r="B234">
        <v>5</v>
      </c>
      <c r="C234">
        <v>1</v>
      </c>
      <c r="D234">
        <v>1</v>
      </c>
      <c r="E234">
        <v>7</v>
      </c>
      <c r="F234">
        <v>7</v>
      </c>
      <c r="G234">
        <v>1</v>
      </c>
      <c r="H234">
        <v>163</v>
      </c>
      <c r="I234">
        <v>1</v>
      </c>
      <c r="J234">
        <v>47</v>
      </c>
      <c r="K234">
        <f t="shared" si="21"/>
        <v>4.2</v>
      </c>
      <c r="L234">
        <f t="shared" si="22"/>
        <v>42</v>
      </c>
      <c r="M234">
        <f t="shared" si="23"/>
        <v>60</v>
      </c>
      <c r="N234">
        <f t="shared" si="24"/>
        <v>15</v>
      </c>
      <c r="O234">
        <f t="shared" si="25"/>
        <v>39</v>
      </c>
      <c r="P234" t="str">
        <f t="shared" si="26"/>
        <v>Not Ready</v>
      </c>
      <c r="Q234" t="str">
        <f t="shared" si="27"/>
        <v>Low</v>
      </c>
    </row>
    <row r="235" spans="1:17" x14ac:dyDescent="0.3">
      <c r="A235">
        <v>1234</v>
      </c>
      <c r="B235">
        <v>6</v>
      </c>
      <c r="C235">
        <v>6</v>
      </c>
      <c r="D235">
        <v>1</v>
      </c>
      <c r="E235">
        <v>7</v>
      </c>
      <c r="F235">
        <v>9</v>
      </c>
      <c r="G235">
        <v>3</v>
      </c>
      <c r="H235">
        <v>162</v>
      </c>
      <c r="I235">
        <v>0</v>
      </c>
      <c r="J235">
        <v>93</v>
      </c>
      <c r="K235">
        <f t="shared" si="21"/>
        <v>5.8</v>
      </c>
      <c r="L235">
        <f t="shared" si="22"/>
        <v>58</v>
      </c>
      <c r="M235">
        <f t="shared" si="23"/>
        <v>60</v>
      </c>
      <c r="N235">
        <f t="shared" si="24"/>
        <v>15</v>
      </c>
      <c r="O235">
        <f t="shared" si="25"/>
        <v>46</v>
      </c>
      <c r="P235" t="str">
        <f t="shared" si="26"/>
        <v>Placement Ready</v>
      </c>
      <c r="Q235" t="str">
        <f t="shared" si="27"/>
        <v>Medium</v>
      </c>
    </row>
    <row r="236" spans="1:17" x14ac:dyDescent="0.3">
      <c r="A236">
        <v>1235</v>
      </c>
      <c r="B236">
        <v>3</v>
      </c>
      <c r="C236">
        <v>10</v>
      </c>
      <c r="D236">
        <v>6</v>
      </c>
      <c r="E236">
        <v>5</v>
      </c>
      <c r="F236">
        <v>9</v>
      </c>
      <c r="G236">
        <v>7</v>
      </c>
      <c r="H236">
        <v>481</v>
      </c>
      <c r="I236">
        <v>1</v>
      </c>
      <c r="J236">
        <v>45</v>
      </c>
      <c r="K236">
        <f t="shared" si="21"/>
        <v>6.6</v>
      </c>
      <c r="L236">
        <f t="shared" si="22"/>
        <v>66</v>
      </c>
      <c r="M236">
        <f t="shared" si="23"/>
        <v>100</v>
      </c>
      <c r="N236">
        <f t="shared" si="24"/>
        <v>45</v>
      </c>
      <c r="O236">
        <f t="shared" si="25"/>
        <v>70</v>
      </c>
      <c r="P236" t="str">
        <f t="shared" si="26"/>
        <v>Not Ready</v>
      </c>
      <c r="Q236" t="str">
        <f t="shared" si="27"/>
        <v>Medium</v>
      </c>
    </row>
    <row r="237" spans="1:17" x14ac:dyDescent="0.3">
      <c r="A237">
        <v>1236</v>
      </c>
      <c r="B237">
        <v>10</v>
      </c>
      <c r="C237">
        <v>5</v>
      </c>
      <c r="D237">
        <v>8</v>
      </c>
      <c r="E237">
        <v>7</v>
      </c>
      <c r="F237">
        <v>6</v>
      </c>
      <c r="G237">
        <v>5</v>
      </c>
      <c r="H237">
        <v>315</v>
      </c>
      <c r="I237">
        <v>5</v>
      </c>
      <c r="J237">
        <v>56</v>
      </c>
      <c r="K237">
        <f t="shared" si="21"/>
        <v>7.2</v>
      </c>
      <c r="L237">
        <f t="shared" si="22"/>
        <v>72</v>
      </c>
      <c r="M237">
        <f t="shared" si="23"/>
        <v>80</v>
      </c>
      <c r="N237">
        <f t="shared" si="24"/>
        <v>75</v>
      </c>
      <c r="O237">
        <f t="shared" si="25"/>
        <v>75</v>
      </c>
      <c r="P237" t="str">
        <f t="shared" si="26"/>
        <v>Needs Improvement</v>
      </c>
      <c r="Q237" t="str">
        <f t="shared" si="27"/>
        <v>High</v>
      </c>
    </row>
    <row r="238" spans="1:17" x14ac:dyDescent="0.3">
      <c r="A238">
        <v>1237</v>
      </c>
      <c r="B238">
        <v>8</v>
      </c>
      <c r="C238">
        <v>1</v>
      </c>
      <c r="D238">
        <v>4</v>
      </c>
      <c r="E238">
        <v>4</v>
      </c>
      <c r="F238">
        <v>7</v>
      </c>
      <c r="G238">
        <v>1</v>
      </c>
      <c r="H238">
        <v>81</v>
      </c>
      <c r="I238">
        <v>3</v>
      </c>
      <c r="J238">
        <v>80</v>
      </c>
      <c r="K238">
        <f t="shared" si="21"/>
        <v>4.8</v>
      </c>
      <c r="L238">
        <f t="shared" si="22"/>
        <v>48</v>
      </c>
      <c r="M238">
        <f t="shared" si="23"/>
        <v>40</v>
      </c>
      <c r="N238">
        <f t="shared" si="24"/>
        <v>35</v>
      </c>
      <c r="O238">
        <f t="shared" si="25"/>
        <v>42</v>
      </c>
      <c r="P238" t="str">
        <f t="shared" si="26"/>
        <v>Placement Ready</v>
      </c>
      <c r="Q238" t="str">
        <f t="shared" si="27"/>
        <v>Medium</v>
      </c>
    </row>
    <row r="239" spans="1:17" x14ac:dyDescent="0.3">
      <c r="A239">
        <v>1238</v>
      </c>
      <c r="B239">
        <v>10</v>
      </c>
      <c r="C239">
        <v>6</v>
      </c>
      <c r="D239">
        <v>7</v>
      </c>
      <c r="E239">
        <v>1</v>
      </c>
      <c r="F239">
        <v>10</v>
      </c>
      <c r="G239">
        <v>6</v>
      </c>
      <c r="H239">
        <v>140</v>
      </c>
      <c r="I239">
        <v>2</v>
      </c>
      <c r="J239">
        <v>76</v>
      </c>
      <c r="K239">
        <f t="shared" si="21"/>
        <v>6.8</v>
      </c>
      <c r="L239">
        <f t="shared" si="22"/>
        <v>68</v>
      </c>
      <c r="M239">
        <f t="shared" si="23"/>
        <v>40</v>
      </c>
      <c r="N239">
        <f t="shared" si="24"/>
        <v>50</v>
      </c>
      <c r="O239">
        <f t="shared" si="25"/>
        <v>54</v>
      </c>
      <c r="P239" t="str">
        <f t="shared" si="26"/>
        <v>Placement Ready</v>
      </c>
      <c r="Q239" t="str">
        <f t="shared" si="27"/>
        <v>Medium</v>
      </c>
    </row>
    <row r="240" spans="1:17" x14ac:dyDescent="0.3">
      <c r="A240">
        <v>1239</v>
      </c>
      <c r="B240">
        <v>4</v>
      </c>
      <c r="C240">
        <v>9</v>
      </c>
      <c r="D240">
        <v>5</v>
      </c>
      <c r="E240">
        <v>2</v>
      </c>
      <c r="F240">
        <v>9</v>
      </c>
      <c r="G240">
        <v>6</v>
      </c>
      <c r="H240">
        <v>212</v>
      </c>
      <c r="I240">
        <v>5</v>
      </c>
      <c r="J240">
        <v>43</v>
      </c>
      <c r="K240">
        <f t="shared" si="21"/>
        <v>5.8</v>
      </c>
      <c r="L240">
        <f t="shared" si="22"/>
        <v>58</v>
      </c>
      <c r="M240">
        <f t="shared" si="23"/>
        <v>60</v>
      </c>
      <c r="N240">
        <f t="shared" si="24"/>
        <v>80</v>
      </c>
      <c r="O240">
        <f t="shared" si="25"/>
        <v>65</v>
      </c>
      <c r="P240" t="str">
        <f t="shared" si="26"/>
        <v>Not Ready</v>
      </c>
      <c r="Q240" t="str">
        <f t="shared" si="27"/>
        <v>Medium</v>
      </c>
    </row>
    <row r="241" spans="1:17" x14ac:dyDescent="0.3">
      <c r="A241">
        <v>1240</v>
      </c>
      <c r="B241">
        <v>9</v>
      </c>
      <c r="C241">
        <v>5</v>
      </c>
      <c r="D241">
        <v>8</v>
      </c>
      <c r="E241">
        <v>10</v>
      </c>
      <c r="F241">
        <v>9</v>
      </c>
      <c r="G241">
        <v>2</v>
      </c>
      <c r="H241">
        <v>475</v>
      </c>
      <c r="I241">
        <v>2</v>
      </c>
      <c r="J241">
        <v>83</v>
      </c>
      <c r="K241">
        <f t="shared" si="21"/>
        <v>8.1999999999999993</v>
      </c>
      <c r="L241">
        <f t="shared" si="22"/>
        <v>82</v>
      </c>
      <c r="M241">
        <f t="shared" si="23"/>
        <v>100</v>
      </c>
      <c r="N241">
        <f t="shared" si="24"/>
        <v>30</v>
      </c>
      <c r="O241">
        <f t="shared" si="25"/>
        <v>72</v>
      </c>
      <c r="P241" t="str">
        <f t="shared" si="26"/>
        <v>Placement Ready</v>
      </c>
      <c r="Q241" t="str">
        <f t="shared" si="27"/>
        <v>High</v>
      </c>
    </row>
    <row r="242" spans="1:17" x14ac:dyDescent="0.3">
      <c r="A242">
        <v>1241</v>
      </c>
      <c r="B242">
        <v>4</v>
      </c>
      <c r="C242">
        <v>10</v>
      </c>
      <c r="D242">
        <v>7</v>
      </c>
      <c r="E242">
        <v>1</v>
      </c>
      <c r="F242">
        <v>9</v>
      </c>
      <c r="G242">
        <v>8</v>
      </c>
      <c r="H242">
        <v>281</v>
      </c>
      <c r="I242">
        <v>2</v>
      </c>
      <c r="J242">
        <v>84</v>
      </c>
      <c r="K242">
        <f t="shared" si="21"/>
        <v>6.2</v>
      </c>
      <c r="L242">
        <f t="shared" si="22"/>
        <v>62</v>
      </c>
      <c r="M242">
        <f t="shared" si="23"/>
        <v>80</v>
      </c>
      <c r="N242">
        <f t="shared" si="24"/>
        <v>60</v>
      </c>
      <c r="O242">
        <f t="shared" si="25"/>
        <v>67</v>
      </c>
      <c r="P242" t="str">
        <f t="shared" si="26"/>
        <v>Placement Ready</v>
      </c>
      <c r="Q242" t="str">
        <f t="shared" si="27"/>
        <v>Medium</v>
      </c>
    </row>
    <row r="243" spans="1:17" x14ac:dyDescent="0.3">
      <c r="A243">
        <v>1242</v>
      </c>
      <c r="B243">
        <v>1</v>
      </c>
      <c r="C243">
        <v>4</v>
      </c>
      <c r="D243">
        <v>3</v>
      </c>
      <c r="E243">
        <v>4</v>
      </c>
      <c r="F243">
        <v>7</v>
      </c>
      <c r="G243">
        <v>6</v>
      </c>
      <c r="H243">
        <v>404</v>
      </c>
      <c r="I243">
        <v>0</v>
      </c>
      <c r="J243">
        <v>65</v>
      </c>
      <c r="K243">
        <f t="shared" si="21"/>
        <v>3.8</v>
      </c>
      <c r="L243">
        <f t="shared" si="22"/>
        <v>38</v>
      </c>
      <c r="M243">
        <f t="shared" si="23"/>
        <v>100</v>
      </c>
      <c r="N243">
        <f t="shared" si="24"/>
        <v>30</v>
      </c>
      <c r="O243">
        <f t="shared" si="25"/>
        <v>54</v>
      </c>
      <c r="P243" t="str">
        <f t="shared" si="26"/>
        <v>Needs Improvement</v>
      </c>
      <c r="Q243" t="str">
        <f t="shared" si="27"/>
        <v>Medium</v>
      </c>
    </row>
    <row r="244" spans="1:17" x14ac:dyDescent="0.3">
      <c r="A244">
        <v>1243</v>
      </c>
      <c r="B244">
        <v>5</v>
      </c>
      <c r="C244">
        <v>5</v>
      </c>
      <c r="D244">
        <v>9</v>
      </c>
      <c r="E244">
        <v>9</v>
      </c>
      <c r="F244">
        <v>1</v>
      </c>
      <c r="G244">
        <v>6</v>
      </c>
      <c r="H244">
        <v>124</v>
      </c>
      <c r="I244">
        <v>1</v>
      </c>
      <c r="J244">
        <v>50</v>
      </c>
      <c r="K244">
        <f t="shared" si="21"/>
        <v>5.8</v>
      </c>
      <c r="L244">
        <f t="shared" si="22"/>
        <v>58</v>
      </c>
      <c r="M244">
        <f t="shared" si="23"/>
        <v>40</v>
      </c>
      <c r="N244">
        <f t="shared" si="24"/>
        <v>40</v>
      </c>
      <c r="O244">
        <f t="shared" si="25"/>
        <v>47</v>
      </c>
      <c r="P244" t="str">
        <f t="shared" si="26"/>
        <v>Needs Improvement</v>
      </c>
      <c r="Q244" t="str">
        <f t="shared" si="27"/>
        <v>Medium</v>
      </c>
    </row>
    <row r="245" spans="1:17" x14ac:dyDescent="0.3">
      <c r="A245">
        <v>1244</v>
      </c>
      <c r="B245">
        <v>3</v>
      </c>
      <c r="C245">
        <v>1</v>
      </c>
      <c r="D245">
        <v>7</v>
      </c>
      <c r="E245">
        <v>7</v>
      </c>
      <c r="F245">
        <v>8</v>
      </c>
      <c r="G245">
        <v>3</v>
      </c>
      <c r="H245">
        <v>88</v>
      </c>
      <c r="I245">
        <v>3</v>
      </c>
      <c r="J245">
        <v>51</v>
      </c>
      <c r="K245">
        <f t="shared" si="21"/>
        <v>5.2</v>
      </c>
      <c r="L245">
        <f t="shared" si="22"/>
        <v>52</v>
      </c>
      <c r="M245">
        <f t="shared" si="23"/>
        <v>40</v>
      </c>
      <c r="N245">
        <f t="shared" si="24"/>
        <v>45</v>
      </c>
      <c r="O245">
        <f t="shared" si="25"/>
        <v>46</v>
      </c>
      <c r="P245" t="str">
        <f t="shared" si="26"/>
        <v>Needs Improvement</v>
      </c>
      <c r="Q245" t="str">
        <f t="shared" si="27"/>
        <v>Medium</v>
      </c>
    </row>
    <row r="246" spans="1:17" x14ac:dyDescent="0.3">
      <c r="A246">
        <v>1245</v>
      </c>
      <c r="B246">
        <v>2</v>
      </c>
      <c r="C246">
        <v>3</v>
      </c>
      <c r="D246">
        <v>10</v>
      </c>
      <c r="E246">
        <v>7</v>
      </c>
      <c r="F246">
        <v>3</v>
      </c>
      <c r="G246">
        <v>4</v>
      </c>
      <c r="H246">
        <v>183</v>
      </c>
      <c r="I246">
        <v>1</v>
      </c>
      <c r="J246">
        <v>52</v>
      </c>
      <c r="K246">
        <f t="shared" si="21"/>
        <v>5</v>
      </c>
      <c r="L246">
        <f t="shared" si="22"/>
        <v>50</v>
      </c>
      <c r="M246">
        <f t="shared" si="23"/>
        <v>60</v>
      </c>
      <c r="N246">
        <f t="shared" si="24"/>
        <v>30</v>
      </c>
      <c r="O246">
        <f t="shared" si="25"/>
        <v>47</v>
      </c>
      <c r="P246" t="str">
        <f t="shared" si="26"/>
        <v>Needs Improvement</v>
      </c>
      <c r="Q246" t="str">
        <f t="shared" si="27"/>
        <v>Medium</v>
      </c>
    </row>
    <row r="247" spans="1:17" x14ac:dyDescent="0.3">
      <c r="A247">
        <v>1246</v>
      </c>
      <c r="B247">
        <v>9</v>
      </c>
      <c r="C247">
        <v>6</v>
      </c>
      <c r="D247">
        <v>10</v>
      </c>
      <c r="E247">
        <v>1</v>
      </c>
      <c r="F247">
        <v>3</v>
      </c>
      <c r="G247">
        <v>7</v>
      </c>
      <c r="H247">
        <v>277</v>
      </c>
      <c r="I247">
        <v>4</v>
      </c>
      <c r="J247">
        <v>47</v>
      </c>
      <c r="K247">
        <f t="shared" si="21"/>
        <v>5.8</v>
      </c>
      <c r="L247">
        <f t="shared" si="22"/>
        <v>58</v>
      </c>
      <c r="M247">
        <f t="shared" si="23"/>
        <v>80</v>
      </c>
      <c r="N247">
        <f t="shared" si="24"/>
        <v>75</v>
      </c>
      <c r="O247">
        <f t="shared" si="25"/>
        <v>70</v>
      </c>
      <c r="P247" t="str">
        <f t="shared" si="26"/>
        <v>Not Ready</v>
      </c>
      <c r="Q247" t="str">
        <f t="shared" si="27"/>
        <v>Medium</v>
      </c>
    </row>
    <row r="248" spans="1:17" x14ac:dyDescent="0.3">
      <c r="A248">
        <v>1247</v>
      </c>
      <c r="B248">
        <v>3</v>
      </c>
      <c r="C248">
        <v>8</v>
      </c>
      <c r="D248">
        <v>6</v>
      </c>
      <c r="E248">
        <v>5</v>
      </c>
      <c r="F248">
        <v>2</v>
      </c>
      <c r="G248">
        <v>4</v>
      </c>
      <c r="H248">
        <v>290</v>
      </c>
      <c r="I248">
        <v>3</v>
      </c>
      <c r="J248">
        <v>88</v>
      </c>
      <c r="K248">
        <f t="shared" si="21"/>
        <v>4.8</v>
      </c>
      <c r="L248">
        <f t="shared" si="22"/>
        <v>48</v>
      </c>
      <c r="M248">
        <f t="shared" si="23"/>
        <v>80</v>
      </c>
      <c r="N248">
        <f t="shared" si="24"/>
        <v>50</v>
      </c>
      <c r="O248">
        <f t="shared" si="25"/>
        <v>58</v>
      </c>
      <c r="P248" t="str">
        <f t="shared" si="26"/>
        <v>Placement Ready</v>
      </c>
      <c r="Q248" t="str">
        <f t="shared" si="27"/>
        <v>Medium</v>
      </c>
    </row>
    <row r="249" spans="1:17" x14ac:dyDescent="0.3">
      <c r="A249">
        <v>1248</v>
      </c>
      <c r="B249">
        <v>9</v>
      </c>
      <c r="C249">
        <v>10</v>
      </c>
      <c r="D249">
        <v>10</v>
      </c>
      <c r="E249">
        <v>4</v>
      </c>
      <c r="F249">
        <v>9</v>
      </c>
      <c r="G249">
        <v>3</v>
      </c>
      <c r="H249">
        <v>448</v>
      </c>
      <c r="I249">
        <v>0</v>
      </c>
      <c r="J249">
        <v>45</v>
      </c>
      <c r="K249">
        <f t="shared" si="21"/>
        <v>8.4</v>
      </c>
      <c r="L249">
        <f t="shared" si="22"/>
        <v>84</v>
      </c>
      <c r="M249">
        <f t="shared" si="23"/>
        <v>100</v>
      </c>
      <c r="N249">
        <f t="shared" si="24"/>
        <v>15</v>
      </c>
      <c r="O249">
        <f t="shared" si="25"/>
        <v>68</v>
      </c>
      <c r="P249" t="str">
        <f t="shared" si="26"/>
        <v>Not Ready</v>
      </c>
      <c r="Q249" t="str">
        <f t="shared" si="27"/>
        <v>Medium</v>
      </c>
    </row>
    <row r="250" spans="1:17" x14ac:dyDescent="0.3">
      <c r="A250">
        <v>1249</v>
      </c>
      <c r="B250">
        <v>3</v>
      </c>
      <c r="C250">
        <v>3</v>
      </c>
      <c r="D250">
        <v>3</v>
      </c>
      <c r="E250">
        <v>1</v>
      </c>
      <c r="F250">
        <v>10</v>
      </c>
      <c r="G250">
        <v>6</v>
      </c>
      <c r="H250">
        <v>474</v>
      </c>
      <c r="I250">
        <v>4</v>
      </c>
      <c r="J250">
        <v>88</v>
      </c>
      <c r="K250">
        <f t="shared" si="21"/>
        <v>4</v>
      </c>
      <c r="L250">
        <f t="shared" si="22"/>
        <v>40</v>
      </c>
      <c r="M250">
        <f t="shared" si="23"/>
        <v>100</v>
      </c>
      <c r="N250">
        <f t="shared" si="24"/>
        <v>70</v>
      </c>
      <c r="O250">
        <f t="shared" si="25"/>
        <v>67</v>
      </c>
      <c r="P250" t="str">
        <f t="shared" si="26"/>
        <v>Placement Ready</v>
      </c>
      <c r="Q250" t="str">
        <f t="shared" si="27"/>
        <v>Medium</v>
      </c>
    </row>
    <row r="251" spans="1:17" x14ac:dyDescent="0.3">
      <c r="A251">
        <v>1250</v>
      </c>
      <c r="B251">
        <v>5</v>
      </c>
      <c r="C251">
        <v>10</v>
      </c>
      <c r="D251">
        <v>1</v>
      </c>
      <c r="E251">
        <v>6</v>
      </c>
      <c r="F251">
        <v>6</v>
      </c>
      <c r="G251">
        <v>3</v>
      </c>
      <c r="H251">
        <v>475</v>
      </c>
      <c r="I251">
        <v>3</v>
      </c>
      <c r="J251">
        <v>51</v>
      </c>
      <c r="K251">
        <f t="shared" si="21"/>
        <v>5.6</v>
      </c>
      <c r="L251">
        <f t="shared" si="22"/>
        <v>56</v>
      </c>
      <c r="M251">
        <f t="shared" si="23"/>
        <v>100</v>
      </c>
      <c r="N251">
        <f t="shared" si="24"/>
        <v>45</v>
      </c>
      <c r="O251">
        <f t="shared" si="25"/>
        <v>66</v>
      </c>
      <c r="P251" t="str">
        <f t="shared" si="26"/>
        <v>Needs Improvement</v>
      </c>
      <c r="Q251" t="str">
        <f t="shared" si="27"/>
        <v>Medium</v>
      </c>
    </row>
    <row r="252" spans="1:17" x14ac:dyDescent="0.3">
      <c r="A252">
        <v>1251</v>
      </c>
      <c r="B252">
        <v>7</v>
      </c>
      <c r="C252">
        <v>6</v>
      </c>
      <c r="D252">
        <v>6</v>
      </c>
      <c r="E252">
        <v>4</v>
      </c>
      <c r="F252">
        <v>4</v>
      </c>
      <c r="G252">
        <v>8</v>
      </c>
      <c r="H252">
        <v>234</v>
      </c>
      <c r="I252">
        <v>5</v>
      </c>
      <c r="J252">
        <v>51</v>
      </c>
      <c r="K252">
        <f t="shared" si="21"/>
        <v>5.4</v>
      </c>
      <c r="L252">
        <f t="shared" si="22"/>
        <v>54</v>
      </c>
      <c r="M252">
        <f t="shared" si="23"/>
        <v>60</v>
      </c>
      <c r="N252">
        <f t="shared" si="24"/>
        <v>90</v>
      </c>
      <c r="O252">
        <f t="shared" si="25"/>
        <v>67</v>
      </c>
      <c r="P252" t="str">
        <f t="shared" si="26"/>
        <v>Needs Improvement</v>
      </c>
      <c r="Q252" t="str">
        <f t="shared" si="27"/>
        <v>Medium</v>
      </c>
    </row>
    <row r="253" spans="1:17" x14ac:dyDescent="0.3">
      <c r="A253">
        <v>1252</v>
      </c>
      <c r="B253">
        <v>7</v>
      </c>
      <c r="C253">
        <v>4</v>
      </c>
      <c r="D253">
        <v>2</v>
      </c>
      <c r="E253">
        <v>7</v>
      </c>
      <c r="F253">
        <v>10</v>
      </c>
      <c r="G253">
        <v>0</v>
      </c>
      <c r="H253">
        <v>418</v>
      </c>
      <c r="I253">
        <v>5</v>
      </c>
      <c r="J253">
        <v>55</v>
      </c>
      <c r="K253">
        <f t="shared" si="21"/>
        <v>6</v>
      </c>
      <c r="L253">
        <f t="shared" si="22"/>
        <v>60</v>
      </c>
      <c r="M253">
        <f t="shared" si="23"/>
        <v>100</v>
      </c>
      <c r="N253">
        <f t="shared" si="24"/>
        <v>50</v>
      </c>
      <c r="O253">
        <f t="shared" si="25"/>
        <v>69</v>
      </c>
      <c r="P253" t="str">
        <f t="shared" si="26"/>
        <v>Needs Improvement</v>
      </c>
      <c r="Q253" t="str">
        <f t="shared" si="27"/>
        <v>Medium</v>
      </c>
    </row>
    <row r="254" spans="1:17" x14ac:dyDescent="0.3">
      <c r="A254">
        <v>1253</v>
      </c>
      <c r="B254">
        <v>7</v>
      </c>
      <c r="C254">
        <v>9</v>
      </c>
      <c r="D254">
        <v>1</v>
      </c>
      <c r="E254">
        <v>7</v>
      </c>
      <c r="F254">
        <v>9</v>
      </c>
      <c r="G254">
        <v>7</v>
      </c>
      <c r="H254">
        <v>116</v>
      </c>
      <c r="I254">
        <v>2</v>
      </c>
      <c r="J254">
        <v>90</v>
      </c>
      <c r="K254">
        <f t="shared" si="21"/>
        <v>6.6</v>
      </c>
      <c r="L254">
        <f t="shared" si="22"/>
        <v>66</v>
      </c>
      <c r="M254">
        <f t="shared" si="23"/>
        <v>40</v>
      </c>
      <c r="N254">
        <f t="shared" si="24"/>
        <v>55</v>
      </c>
      <c r="O254">
        <f t="shared" si="25"/>
        <v>55</v>
      </c>
      <c r="P254" t="str">
        <f t="shared" si="26"/>
        <v>Placement Ready</v>
      </c>
      <c r="Q254" t="str">
        <f t="shared" si="27"/>
        <v>Medium</v>
      </c>
    </row>
    <row r="255" spans="1:17" x14ac:dyDescent="0.3">
      <c r="A255">
        <v>1254</v>
      </c>
      <c r="B255">
        <v>10</v>
      </c>
      <c r="C255">
        <v>9</v>
      </c>
      <c r="D255">
        <v>1</v>
      </c>
      <c r="E255">
        <v>2</v>
      </c>
      <c r="F255">
        <v>10</v>
      </c>
      <c r="G255">
        <v>6</v>
      </c>
      <c r="H255">
        <v>263</v>
      </c>
      <c r="I255">
        <v>5</v>
      </c>
      <c r="J255">
        <v>42</v>
      </c>
      <c r="K255">
        <f t="shared" si="21"/>
        <v>6.4</v>
      </c>
      <c r="L255">
        <f t="shared" si="22"/>
        <v>64</v>
      </c>
      <c r="M255">
        <f t="shared" si="23"/>
        <v>80</v>
      </c>
      <c r="N255">
        <f t="shared" si="24"/>
        <v>80</v>
      </c>
      <c r="O255">
        <f t="shared" si="25"/>
        <v>74</v>
      </c>
      <c r="P255" t="str">
        <f t="shared" si="26"/>
        <v>Not Ready</v>
      </c>
      <c r="Q255" t="str">
        <f t="shared" si="27"/>
        <v>High</v>
      </c>
    </row>
    <row r="256" spans="1:17" x14ac:dyDescent="0.3">
      <c r="A256">
        <v>1255</v>
      </c>
      <c r="B256">
        <v>7</v>
      </c>
      <c r="C256">
        <v>6</v>
      </c>
      <c r="D256">
        <v>1</v>
      </c>
      <c r="E256">
        <v>10</v>
      </c>
      <c r="F256">
        <v>9</v>
      </c>
      <c r="G256">
        <v>7</v>
      </c>
      <c r="H256">
        <v>467</v>
      </c>
      <c r="I256">
        <v>4</v>
      </c>
      <c r="J256">
        <v>75</v>
      </c>
      <c r="K256">
        <f t="shared" si="21"/>
        <v>6.6</v>
      </c>
      <c r="L256">
        <f t="shared" si="22"/>
        <v>66</v>
      </c>
      <c r="M256">
        <f t="shared" si="23"/>
        <v>100</v>
      </c>
      <c r="N256">
        <f t="shared" si="24"/>
        <v>75</v>
      </c>
      <c r="O256">
        <f t="shared" si="25"/>
        <v>79</v>
      </c>
      <c r="P256" t="str">
        <f t="shared" si="26"/>
        <v>Placement Ready</v>
      </c>
      <c r="Q256" t="str">
        <f t="shared" si="27"/>
        <v>High</v>
      </c>
    </row>
    <row r="257" spans="1:17" x14ac:dyDescent="0.3">
      <c r="A257">
        <v>1256</v>
      </c>
      <c r="B257">
        <v>8</v>
      </c>
      <c r="C257">
        <v>2</v>
      </c>
      <c r="D257">
        <v>4</v>
      </c>
      <c r="E257">
        <v>1</v>
      </c>
      <c r="F257">
        <v>6</v>
      </c>
      <c r="G257">
        <v>8</v>
      </c>
      <c r="H257">
        <v>183</v>
      </c>
      <c r="I257">
        <v>4</v>
      </c>
      <c r="J257">
        <v>80</v>
      </c>
      <c r="K257">
        <f t="shared" si="21"/>
        <v>4.2</v>
      </c>
      <c r="L257">
        <f t="shared" si="22"/>
        <v>42</v>
      </c>
      <c r="M257">
        <f t="shared" si="23"/>
        <v>60</v>
      </c>
      <c r="N257">
        <f t="shared" si="24"/>
        <v>80</v>
      </c>
      <c r="O257">
        <f t="shared" si="25"/>
        <v>59</v>
      </c>
      <c r="P257" t="str">
        <f t="shared" si="26"/>
        <v>Placement Ready</v>
      </c>
      <c r="Q257" t="str">
        <f t="shared" si="27"/>
        <v>Medium</v>
      </c>
    </row>
    <row r="258" spans="1:17" x14ac:dyDescent="0.3">
      <c r="A258">
        <v>1257</v>
      </c>
      <c r="B258">
        <v>3</v>
      </c>
      <c r="C258">
        <v>3</v>
      </c>
      <c r="D258">
        <v>7</v>
      </c>
      <c r="E258">
        <v>10</v>
      </c>
      <c r="F258">
        <v>5</v>
      </c>
      <c r="G258">
        <v>7</v>
      </c>
      <c r="H258">
        <v>139</v>
      </c>
      <c r="I258">
        <v>2</v>
      </c>
      <c r="J258">
        <v>58</v>
      </c>
      <c r="K258">
        <f t="shared" si="21"/>
        <v>5.6</v>
      </c>
      <c r="L258">
        <f t="shared" si="22"/>
        <v>56</v>
      </c>
      <c r="M258">
        <f t="shared" si="23"/>
        <v>40</v>
      </c>
      <c r="N258">
        <f t="shared" si="24"/>
        <v>55</v>
      </c>
      <c r="O258">
        <f t="shared" si="25"/>
        <v>51</v>
      </c>
      <c r="P258" t="str">
        <f t="shared" si="26"/>
        <v>Needs Improvement</v>
      </c>
      <c r="Q258" t="str">
        <f t="shared" si="27"/>
        <v>Medium</v>
      </c>
    </row>
    <row r="259" spans="1:17" x14ac:dyDescent="0.3">
      <c r="A259">
        <v>1258</v>
      </c>
      <c r="B259">
        <v>7</v>
      </c>
      <c r="C259">
        <v>2</v>
      </c>
      <c r="D259">
        <v>7</v>
      </c>
      <c r="E259">
        <v>5</v>
      </c>
      <c r="F259">
        <v>5</v>
      </c>
      <c r="G259">
        <v>2</v>
      </c>
      <c r="H259">
        <v>407</v>
      </c>
      <c r="I259">
        <v>5</v>
      </c>
      <c r="J259">
        <v>64</v>
      </c>
      <c r="K259">
        <f t="shared" ref="K259:K322" si="28">AVERAGE(B259:F259)</f>
        <v>5.2</v>
      </c>
      <c r="L259">
        <f t="shared" ref="L259:L322" si="29">K259*10</f>
        <v>52</v>
      </c>
      <c r="M259">
        <f t="shared" ref="M259:M322" si="30">IF(H259&gt;=400,100,IF(H259&gt;=250,80,IF(H259&gt;=150,60,40)))</f>
        <v>100</v>
      </c>
      <c r="N259">
        <f t="shared" ref="N259:N322" si="31">(G259*5)+(I259*10)</f>
        <v>60</v>
      </c>
      <c r="O259">
        <f t="shared" ref="O259:O322" si="32">ROUND((L259*0.4)+(M259*0.3)+(N259*0.3),0)</f>
        <v>69</v>
      </c>
      <c r="P259" t="str">
        <f t="shared" ref="P259:P322" si="33">IF(J259&gt;=75,"Placement Ready",IF(J259&gt;=50,"Needs Improvement","Not Ready"))</f>
        <v>Needs Improvement</v>
      </c>
      <c r="Q259" t="str">
        <f t="shared" ref="Q259:Q322" si="34">IF(O259&lt;40,"Low",IF(O259&lt;=70,"Medium","High"))</f>
        <v>Medium</v>
      </c>
    </row>
    <row r="260" spans="1:17" x14ac:dyDescent="0.3">
      <c r="A260">
        <v>1259</v>
      </c>
      <c r="B260">
        <v>10</v>
      </c>
      <c r="C260">
        <v>7</v>
      </c>
      <c r="D260">
        <v>5</v>
      </c>
      <c r="E260">
        <v>1</v>
      </c>
      <c r="F260">
        <v>10</v>
      </c>
      <c r="G260">
        <v>4</v>
      </c>
      <c r="H260">
        <v>80</v>
      </c>
      <c r="I260">
        <v>4</v>
      </c>
      <c r="J260">
        <v>53</v>
      </c>
      <c r="K260">
        <f t="shared" si="28"/>
        <v>6.6</v>
      </c>
      <c r="L260">
        <f t="shared" si="29"/>
        <v>66</v>
      </c>
      <c r="M260">
        <f t="shared" si="30"/>
        <v>40</v>
      </c>
      <c r="N260">
        <f t="shared" si="31"/>
        <v>60</v>
      </c>
      <c r="O260">
        <f t="shared" si="32"/>
        <v>56</v>
      </c>
      <c r="P260" t="str">
        <f t="shared" si="33"/>
        <v>Needs Improvement</v>
      </c>
      <c r="Q260" t="str">
        <f t="shared" si="34"/>
        <v>Medium</v>
      </c>
    </row>
    <row r="261" spans="1:17" x14ac:dyDescent="0.3">
      <c r="A261">
        <v>1260</v>
      </c>
      <c r="B261">
        <v>2</v>
      </c>
      <c r="C261">
        <v>8</v>
      </c>
      <c r="D261">
        <v>3</v>
      </c>
      <c r="E261">
        <v>3</v>
      </c>
      <c r="F261">
        <v>3</v>
      </c>
      <c r="G261">
        <v>7</v>
      </c>
      <c r="H261">
        <v>464</v>
      </c>
      <c r="I261">
        <v>0</v>
      </c>
      <c r="J261">
        <v>94</v>
      </c>
      <c r="K261">
        <f t="shared" si="28"/>
        <v>3.8</v>
      </c>
      <c r="L261">
        <f t="shared" si="29"/>
        <v>38</v>
      </c>
      <c r="M261">
        <f t="shared" si="30"/>
        <v>100</v>
      </c>
      <c r="N261">
        <f t="shared" si="31"/>
        <v>35</v>
      </c>
      <c r="O261">
        <f t="shared" si="32"/>
        <v>56</v>
      </c>
      <c r="P261" t="str">
        <f t="shared" si="33"/>
        <v>Placement Ready</v>
      </c>
      <c r="Q261" t="str">
        <f t="shared" si="34"/>
        <v>Medium</v>
      </c>
    </row>
    <row r="262" spans="1:17" x14ac:dyDescent="0.3">
      <c r="A262">
        <v>1261</v>
      </c>
      <c r="B262">
        <v>7</v>
      </c>
      <c r="C262">
        <v>7</v>
      </c>
      <c r="D262">
        <v>1</v>
      </c>
      <c r="E262">
        <v>3</v>
      </c>
      <c r="F262">
        <v>9</v>
      </c>
      <c r="G262">
        <v>8</v>
      </c>
      <c r="H262">
        <v>495</v>
      </c>
      <c r="I262">
        <v>4</v>
      </c>
      <c r="J262">
        <v>51</v>
      </c>
      <c r="K262">
        <f t="shared" si="28"/>
        <v>5.4</v>
      </c>
      <c r="L262">
        <f t="shared" si="29"/>
        <v>54</v>
      </c>
      <c r="M262">
        <f t="shared" si="30"/>
        <v>100</v>
      </c>
      <c r="N262">
        <f t="shared" si="31"/>
        <v>80</v>
      </c>
      <c r="O262">
        <f t="shared" si="32"/>
        <v>76</v>
      </c>
      <c r="P262" t="str">
        <f t="shared" si="33"/>
        <v>Needs Improvement</v>
      </c>
      <c r="Q262" t="str">
        <f t="shared" si="34"/>
        <v>High</v>
      </c>
    </row>
    <row r="263" spans="1:17" x14ac:dyDescent="0.3">
      <c r="A263">
        <v>1262</v>
      </c>
      <c r="B263">
        <v>8</v>
      </c>
      <c r="C263">
        <v>3</v>
      </c>
      <c r="D263">
        <v>3</v>
      </c>
      <c r="E263">
        <v>5</v>
      </c>
      <c r="F263">
        <v>4</v>
      </c>
      <c r="G263">
        <v>8</v>
      </c>
      <c r="H263">
        <v>259</v>
      </c>
      <c r="I263">
        <v>2</v>
      </c>
      <c r="J263">
        <v>93</v>
      </c>
      <c r="K263">
        <f t="shared" si="28"/>
        <v>4.5999999999999996</v>
      </c>
      <c r="L263">
        <f t="shared" si="29"/>
        <v>46</v>
      </c>
      <c r="M263">
        <f t="shared" si="30"/>
        <v>80</v>
      </c>
      <c r="N263">
        <f t="shared" si="31"/>
        <v>60</v>
      </c>
      <c r="O263">
        <f t="shared" si="32"/>
        <v>60</v>
      </c>
      <c r="P263" t="str">
        <f t="shared" si="33"/>
        <v>Placement Ready</v>
      </c>
      <c r="Q263" t="str">
        <f t="shared" si="34"/>
        <v>Medium</v>
      </c>
    </row>
    <row r="264" spans="1:17" x14ac:dyDescent="0.3">
      <c r="A264">
        <v>1263</v>
      </c>
      <c r="B264">
        <v>7</v>
      </c>
      <c r="C264">
        <v>10</v>
      </c>
      <c r="D264">
        <v>1</v>
      </c>
      <c r="E264">
        <v>1</v>
      </c>
      <c r="F264">
        <v>1</v>
      </c>
      <c r="G264">
        <v>2</v>
      </c>
      <c r="H264">
        <v>453</v>
      </c>
      <c r="I264">
        <v>2</v>
      </c>
      <c r="J264">
        <v>86</v>
      </c>
      <c r="K264">
        <f t="shared" si="28"/>
        <v>4</v>
      </c>
      <c r="L264">
        <f t="shared" si="29"/>
        <v>40</v>
      </c>
      <c r="M264">
        <f t="shared" si="30"/>
        <v>100</v>
      </c>
      <c r="N264">
        <f t="shared" si="31"/>
        <v>30</v>
      </c>
      <c r="O264">
        <f t="shared" si="32"/>
        <v>55</v>
      </c>
      <c r="P264" t="str">
        <f t="shared" si="33"/>
        <v>Placement Ready</v>
      </c>
      <c r="Q264" t="str">
        <f t="shared" si="34"/>
        <v>Medium</v>
      </c>
    </row>
    <row r="265" spans="1:17" x14ac:dyDescent="0.3">
      <c r="A265">
        <v>1264</v>
      </c>
      <c r="B265">
        <v>1</v>
      </c>
      <c r="C265">
        <v>5</v>
      </c>
      <c r="D265">
        <v>7</v>
      </c>
      <c r="E265">
        <v>7</v>
      </c>
      <c r="F265">
        <v>5</v>
      </c>
      <c r="G265">
        <v>4</v>
      </c>
      <c r="H265">
        <v>72</v>
      </c>
      <c r="I265">
        <v>5</v>
      </c>
      <c r="J265">
        <v>76</v>
      </c>
      <c r="K265">
        <f t="shared" si="28"/>
        <v>5</v>
      </c>
      <c r="L265">
        <f t="shared" si="29"/>
        <v>50</v>
      </c>
      <c r="M265">
        <f t="shared" si="30"/>
        <v>40</v>
      </c>
      <c r="N265">
        <f t="shared" si="31"/>
        <v>70</v>
      </c>
      <c r="O265">
        <f t="shared" si="32"/>
        <v>53</v>
      </c>
      <c r="P265" t="str">
        <f t="shared" si="33"/>
        <v>Placement Ready</v>
      </c>
      <c r="Q265" t="str">
        <f t="shared" si="34"/>
        <v>Medium</v>
      </c>
    </row>
    <row r="266" spans="1:17" x14ac:dyDescent="0.3">
      <c r="A266">
        <v>1265</v>
      </c>
      <c r="B266">
        <v>1</v>
      </c>
      <c r="C266">
        <v>4</v>
      </c>
      <c r="D266">
        <v>2</v>
      </c>
      <c r="E266">
        <v>4</v>
      </c>
      <c r="F266">
        <v>10</v>
      </c>
      <c r="G266">
        <v>2</v>
      </c>
      <c r="H266">
        <v>190</v>
      </c>
      <c r="I266">
        <v>2</v>
      </c>
      <c r="J266">
        <v>43</v>
      </c>
      <c r="K266">
        <f t="shared" si="28"/>
        <v>4.2</v>
      </c>
      <c r="L266">
        <f t="shared" si="29"/>
        <v>42</v>
      </c>
      <c r="M266">
        <f t="shared" si="30"/>
        <v>60</v>
      </c>
      <c r="N266">
        <f t="shared" si="31"/>
        <v>30</v>
      </c>
      <c r="O266">
        <f t="shared" si="32"/>
        <v>44</v>
      </c>
      <c r="P266" t="str">
        <f t="shared" si="33"/>
        <v>Not Ready</v>
      </c>
      <c r="Q266" t="str">
        <f t="shared" si="34"/>
        <v>Medium</v>
      </c>
    </row>
    <row r="267" spans="1:17" x14ac:dyDescent="0.3">
      <c r="A267">
        <v>1266</v>
      </c>
      <c r="B267">
        <v>1</v>
      </c>
      <c r="C267">
        <v>7</v>
      </c>
      <c r="D267">
        <v>6</v>
      </c>
      <c r="E267">
        <v>3</v>
      </c>
      <c r="F267">
        <v>8</v>
      </c>
      <c r="G267">
        <v>4</v>
      </c>
      <c r="H267">
        <v>335</v>
      </c>
      <c r="I267">
        <v>3</v>
      </c>
      <c r="J267">
        <v>88</v>
      </c>
      <c r="K267">
        <f t="shared" si="28"/>
        <v>5</v>
      </c>
      <c r="L267">
        <f t="shared" si="29"/>
        <v>50</v>
      </c>
      <c r="M267">
        <f t="shared" si="30"/>
        <v>80</v>
      </c>
      <c r="N267">
        <f t="shared" si="31"/>
        <v>50</v>
      </c>
      <c r="O267">
        <f t="shared" si="32"/>
        <v>59</v>
      </c>
      <c r="P267" t="str">
        <f t="shared" si="33"/>
        <v>Placement Ready</v>
      </c>
      <c r="Q267" t="str">
        <f t="shared" si="34"/>
        <v>Medium</v>
      </c>
    </row>
    <row r="268" spans="1:17" x14ac:dyDescent="0.3">
      <c r="A268">
        <v>1267</v>
      </c>
      <c r="B268">
        <v>6</v>
      </c>
      <c r="C268">
        <v>1</v>
      </c>
      <c r="D268">
        <v>9</v>
      </c>
      <c r="E268">
        <v>1</v>
      </c>
      <c r="F268">
        <v>4</v>
      </c>
      <c r="G268">
        <v>0</v>
      </c>
      <c r="H268">
        <v>426</v>
      </c>
      <c r="I268">
        <v>2</v>
      </c>
      <c r="J268">
        <v>45</v>
      </c>
      <c r="K268">
        <f t="shared" si="28"/>
        <v>4.2</v>
      </c>
      <c r="L268">
        <f t="shared" si="29"/>
        <v>42</v>
      </c>
      <c r="M268">
        <f t="shared" si="30"/>
        <v>100</v>
      </c>
      <c r="N268">
        <f t="shared" si="31"/>
        <v>20</v>
      </c>
      <c r="O268">
        <f t="shared" si="32"/>
        <v>53</v>
      </c>
      <c r="P268" t="str">
        <f t="shared" si="33"/>
        <v>Not Ready</v>
      </c>
      <c r="Q268" t="str">
        <f t="shared" si="34"/>
        <v>Medium</v>
      </c>
    </row>
    <row r="269" spans="1:17" x14ac:dyDescent="0.3">
      <c r="A269">
        <v>1268</v>
      </c>
      <c r="B269">
        <v>6</v>
      </c>
      <c r="C269">
        <v>3</v>
      </c>
      <c r="D269">
        <v>1</v>
      </c>
      <c r="E269">
        <v>3</v>
      </c>
      <c r="F269">
        <v>1</v>
      </c>
      <c r="G269">
        <v>0</v>
      </c>
      <c r="H269">
        <v>71</v>
      </c>
      <c r="I269">
        <v>4</v>
      </c>
      <c r="J269">
        <v>65</v>
      </c>
      <c r="K269">
        <f t="shared" si="28"/>
        <v>2.8</v>
      </c>
      <c r="L269">
        <f t="shared" si="29"/>
        <v>28</v>
      </c>
      <c r="M269">
        <f t="shared" si="30"/>
        <v>40</v>
      </c>
      <c r="N269">
        <f t="shared" si="31"/>
        <v>40</v>
      </c>
      <c r="O269">
        <f t="shared" si="32"/>
        <v>35</v>
      </c>
      <c r="P269" t="str">
        <f t="shared" si="33"/>
        <v>Needs Improvement</v>
      </c>
      <c r="Q269" t="str">
        <f t="shared" si="34"/>
        <v>Low</v>
      </c>
    </row>
    <row r="270" spans="1:17" x14ac:dyDescent="0.3">
      <c r="A270">
        <v>1269</v>
      </c>
      <c r="B270">
        <v>1</v>
      </c>
      <c r="C270">
        <v>3</v>
      </c>
      <c r="D270">
        <v>4</v>
      </c>
      <c r="E270">
        <v>2</v>
      </c>
      <c r="F270">
        <v>4</v>
      </c>
      <c r="G270">
        <v>7</v>
      </c>
      <c r="H270">
        <v>464</v>
      </c>
      <c r="I270">
        <v>3</v>
      </c>
      <c r="J270">
        <v>68</v>
      </c>
      <c r="K270">
        <f t="shared" si="28"/>
        <v>2.8</v>
      </c>
      <c r="L270">
        <f t="shared" si="29"/>
        <v>28</v>
      </c>
      <c r="M270">
        <f t="shared" si="30"/>
        <v>100</v>
      </c>
      <c r="N270">
        <f t="shared" si="31"/>
        <v>65</v>
      </c>
      <c r="O270">
        <f t="shared" si="32"/>
        <v>61</v>
      </c>
      <c r="P270" t="str">
        <f t="shared" si="33"/>
        <v>Needs Improvement</v>
      </c>
      <c r="Q270" t="str">
        <f t="shared" si="34"/>
        <v>Medium</v>
      </c>
    </row>
    <row r="271" spans="1:17" x14ac:dyDescent="0.3">
      <c r="A271">
        <v>1270</v>
      </c>
      <c r="B271">
        <v>1</v>
      </c>
      <c r="C271">
        <v>10</v>
      </c>
      <c r="D271">
        <v>6</v>
      </c>
      <c r="E271">
        <v>6</v>
      </c>
      <c r="F271">
        <v>6</v>
      </c>
      <c r="G271">
        <v>5</v>
      </c>
      <c r="H271">
        <v>333</v>
      </c>
      <c r="I271">
        <v>1</v>
      </c>
      <c r="J271">
        <v>74</v>
      </c>
      <c r="K271">
        <f t="shared" si="28"/>
        <v>5.8</v>
      </c>
      <c r="L271">
        <f t="shared" si="29"/>
        <v>58</v>
      </c>
      <c r="M271">
        <f t="shared" si="30"/>
        <v>80</v>
      </c>
      <c r="N271">
        <f t="shared" si="31"/>
        <v>35</v>
      </c>
      <c r="O271">
        <f t="shared" si="32"/>
        <v>58</v>
      </c>
      <c r="P271" t="str">
        <f t="shared" si="33"/>
        <v>Needs Improvement</v>
      </c>
      <c r="Q271" t="str">
        <f t="shared" si="34"/>
        <v>Medium</v>
      </c>
    </row>
    <row r="272" spans="1:17" x14ac:dyDescent="0.3">
      <c r="A272">
        <v>1271</v>
      </c>
      <c r="B272">
        <v>4</v>
      </c>
      <c r="C272">
        <v>1</v>
      </c>
      <c r="D272">
        <v>8</v>
      </c>
      <c r="E272">
        <v>5</v>
      </c>
      <c r="F272">
        <v>9</v>
      </c>
      <c r="G272">
        <v>7</v>
      </c>
      <c r="H272">
        <v>105</v>
      </c>
      <c r="I272">
        <v>3</v>
      </c>
      <c r="J272">
        <v>44</v>
      </c>
      <c r="K272">
        <f t="shared" si="28"/>
        <v>5.4</v>
      </c>
      <c r="L272">
        <f t="shared" si="29"/>
        <v>54</v>
      </c>
      <c r="M272">
        <f t="shared" si="30"/>
        <v>40</v>
      </c>
      <c r="N272">
        <f t="shared" si="31"/>
        <v>65</v>
      </c>
      <c r="O272">
        <f t="shared" si="32"/>
        <v>53</v>
      </c>
      <c r="P272" t="str">
        <f t="shared" si="33"/>
        <v>Not Ready</v>
      </c>
      <c r="Q272" t="str">
        <f t="shared" si="34"/>
        <v>Medium</v>
      </c>
    </row>
    <row r="273" spans="1:17" x14ac:dyDescent="0.3">
      <c r="A273">
        <v>1272</v>
      </c>
      <c r="B273">
        <v>3</v>
      </c>
      <c r="C273">
        <v>4</v>
      </c>
      <c r="D273">
        <v>2</v>
      </c>
      <c r="E273">
        <v>10</v>
      </c>
      <c r="F273">
        <v>3</v>
      </c>
      <c r="G273">
        <v>1</v>
      </c>
      <c r="H273">
        <v>305</v>
      </c>
      <c r="I273">
        <v>1</v>
      </c>
      <c r="J273">
        <v>84</v>
      </c>
      <c r="K273">
        <f t="shared" si="28"/>
        <v>4.4000000000000004</v>
      </c>
      <c r="L273">
        <f t="shared" si="29"/>
        <v>44</v>
      </c>
      <c r="M273">
        <f t="shared" si="30"/>
        <v>80</v>
      </c>
      <c r="N273">
        <f t="shared" si="31"/>
        <v>15</v>
      </c>
      <c r="O273">
        <f t="shared" si="32"/>
        <v>46</v>
      </c>
      <c r="P273" t="str">
        <f t="shared" si="33"/>
        <v>Placement Ready</v>
      </c>
      <c r="Q273" t="str">
        <f t="shared" si="34"/>
        <v>Medium</v>
      </c>
    </row>
    <row r="274" spans="1:17" x14ac:dyDescent="0.3">
      <c r="A274">
        <v>1273</v>
      </c>
      <c r="B274">
        <v>9</v>
      </c>
      <c r="C274">
        <v>6</v>
      </c>
      <c r="D274">
        <v>2</v>
      </c>
      <c r="E274">
        <v>5</v>
      </c>
      <c r="F274">
        <v>8</v>
      </c>
      <c r="G274">
        <v>6</v>
      </c>
      <c r="H274">
        <v>103</v>
      </c>
      <c r="I274">
        <v>0</v>
      </c>
      <c r="J274">
        <v>73</v>
      </c>
      <c r="K274">
        <f t="shared" si="28"/>
        <v>6</v>
      </c>
      <c r="L274">
        <f t="shared" si="29"/>
        <v>60</v>
      </c>
      <c r="M274">
        <f t="shared" si="30"/>
        <v>40</v>
      </c>
      <c r="N274">
        <f t="shared" si="31"/>
        <v>30</v>
      </c>
      <c r="O274">
        <f t="shared" si="32"/>
        <v>45</v>
      </c>
      <c r="P274" t="str">
        <f t="shared" si="33"/>
        <v>Needs Improvement</v>
      </c>
      <c r="Q274" t="str">
        <f t="shared" si="34"/>
        <v>Medium</v>
      </c>
    </row>
    <row r="275" spans="1:17" x14ac:dyDescent="0.3">
      <c r="A275">
        <v>1274</v>
      </c>
      <c r="B275">
        <v>1</v>
      </c>
      <c r="C275">
        <v>2</v>
      </c>
      <c r="D275">
        <v>10</v>
      </c>
      <c r="E275">
        <v>8</v>
      </c>
      <c r="F275">
        <v>7</v>
      </c>
      <c r="G275">
        <v>1</v>
      </c>
      <c r="H275">
        <v>499</v>
      </c>
      <c r="I275">
        <v>5</v>
      </c>
      <c r="J275">
        <v>56</v>
      </c>
      <c r="K275">
        <f t="shared" si="28"/>
        <v>5.6</v>
      </c>
      <c r="L275">
        <f t="shared" si="29"/>
        <v>56</v>
      </c>
      <c r="M275">
        <f t="shared" si="30"/>
        <v>100</v>
      </c>
      <c r="N275">
        <f t="shared" si="31"/>
        <v>55</v>
      </c>
      <c r="O275">
        <f t="shared" si="32"/>
        <v>69</v>
      </c>
      <c r="P275" t="str">
        <f t="shared" si="33"/>
        <v>Needs Improvement</v>
      </c>
      <c r="Q275" t="str">
        <f t="shared" si="34"/>
        <v>Medium</v>
      </c>
    </row>
    <row r="276" spans="1:17" x14ac:dyDescent="0.3">
      <c r="A276">
        <v>1275</v>
      </c>
      <c r="B276">
        <v>3</v>
      </c>
      <c r="C276">
        <v>2</v>
      </c>
      <c r="D276">
        <v>9</v>
      </c>
      <c r="E276">
        <v>5</v>
      </c>
      <c r="F276">
        <v>9</v>
      </c>
      <c r="G276">
        <v>8</v>
      </c>
      <c r="H276">
        <v>447</v>
      </c>
      <c r="I276">
        <v>4</v>
      </c>
      <c r="J276">
        <v>61</v>
      </c>
      <c r="K276">
        <f t="shared" si="28"/>
        <v>5.6</v>
      </c>
      <c r="L276">
        <f t="shared" si="29"/>
        <v>56</v>
      </c>
      <c r="M276">
        <f t="shared" si="30"/>
        <v>100</v>
      </c>
      <c r="N276">
        <f t="shared" si="31"/>
        <v>80</v>
      </c>
      <c r="O276">
        <f t="shared" si="32"/>
        <v>76</v>
      </c>
      <c r="P276" t="str">
        <f t="shared" si="33"/>
        <v>Needs Improvement</v>
      </c>
      <c r="Q276" t="str">
        <f t="shared" si="34"/>
        <v>High</v>
      </c>
    </row>
    <row r="277" spans="1:17" x14ac:dyDescent="0.3">
      <c r="A277">
        <v>1276</v>
      </c>
      <c r="B277">
        <v>8</v>
      </c>
      <c r="C277">
        <v>6</v>
      </c>
      <c r="D277">
        <v>7</v>
      </c>
      <c r="E277">
        <v>9</v>
      </c>
      <c r="F277">
        <v>5</v>
      </c>
      <c r="G277">
        <v>4</v>
      </c>
      <c r="H277">
        <v>262</v>
      </c>
      <c r="I277">
        <v>5</v>
      </c>
      <c r="J277">
        <v>67</v>
      </c>
      <c r="K277">
        <f t="shared" si="28"/>
        <v>7</v>
      </c>
      <c r="L277">
        <f t="shared" si="29"/>
        <v>70</v>
      </c>
      <c r="M277">
        <f t="shared" si="30"/>
        <v>80</v>
      </c>
      <c r="N277">
        <f t="shared" si="31"/>
        <v>70</v>
      </c>
      <c r="O277">
        <f t="shared" si="32"/>
        <v>73</v>
      </c>
      <c r="P277" t="str">
        <f t="shared" si="33"/>
        <v>Needs Improvement</v>
      </c>
      <c r="Q277" t="str">
        <f t="shared" si="34"/>
        <v>High</v>
      </c>
    </row>
    <row r="278" spans="1:17" x14ac:dyDescent="0.3">
      <c r="A278">
        <v>1277</v>
      </c>
      <c r="B278">
        <v>7</v>
      </c>
      <c r="C278">
        <v>8</v>
      </c>
      <c r="D278">
        <v>8</v>
      </c>
      <c r="E278">
        <v>3</v>
      </c>
      <c r="F278">
        <v>4</v>
      </c>
      <c r="G278">
        <v>8</v>
      </c>
      <c r="H278">
        <v>353</v>
      </c>
      <c r="I278">
        <v>0</v>
      </c>
      <c r="J278">
        <v>88</v>
      </c>
      <c r="K278">
        <f t="shared" si="28"/>
        <v>6</v>
      </c>
      <c r="L278">
        <f t="shared" si="29"/>
        <v>60</v>
      </c>
      <c r="M278">
        <f t="shared" si="30"/>
        <v>80</v>
      </c>
      <c r="N278">
        <f t="shared" si="31"/>
        <v>40</v>
      </c>
      <c r="O278">
        <f t="shared" si="32"/>
        <v>60</v>
      </c>
      <c r="P278" t="str">
        <f t="shared" si="33"/>
        <v>Placement Ready</v>
      </c>
      <c r="Q278" t="str">
        <f t="shared" si="34"/>
        <v>Medium</v>
      </c>
    </row>
    <row r="279" spans="1:17" x14ac:dyDescent="0.3">
      <c r="A279">
        <v>1278</v>
      </c>
      <c r="B279">
        <v>5</v>
      </c>
      <c r="C279">
        <v>3</v>
      </c>
      <c r="D279">
        <v>8</v>
      </c>
      <c r="E279">
        <v>2</v>
      </c>
      <c r="F279">
        <v>1</v>
      </c>
      <c r="G279">
        <v>5</v>
      </c>
      <c r="H279">
        <v>69</v>
      </c>
      <c r="I279">
        <v>3</v>
      </c>
      <c r="J279">
        <v>68</v>
      </c>
      <c r="K279">
        <f t="shared" si="28"/>
        <v>3.8</v>
      </c>
      <c r="L279">
        <f t="shared" si="29"/>
        <v>38</v>
      </c>
      <c r="M279">
        <f t="shared" si="30"/>
        <v>40</v>
      </c>
      <c r="N279">
        <f t="shared" si="31"/>
        <v>55</v>
      </c>
      <c r="O279">
        <f t="shared" si="32"/>
        <v>44</v>
      </c>
      <c r="P279" t="str">
        <f t="shared" si="33"/>
        <v>Needs Improvement</v>
      </c>
      <c r="Q279" t="str">
        <f t="shared" si="34"/>
        <v>Medium</v>
      </c>
    </row>
    <row r="280" spans="1:17" x14ac:dyDescent="0.3">
      <c r="A280">
        <v>1279</v>
      </c>
      <c r="B280">
        <v>4</v>
      </c>
      <c r="C280">
        <v>8</v>
      </c>
      <c r="D280">
        <v>4</v>
      </c>
      <c r="E280">
        <v>1</v>
      </c>
      <c r="F280">
        <v>4</v>
      </c>
      <c r="G280">
        <v>7</v>
      </c>
      <c r="H280">
        <v>341</v>
      </c>
      <c r="I280">
        <v>4</v>
      </c>
      <c r="J280">
        <v>60</v>
      </c>
      <c r="K280">
        <f t="shared" si="28"/>
        <v>4.2</v>
      </c>
      <c r="L280">
        <f t="shared" si="29"/>
        <v>42</v>
      </c>
      <c r="M280">
        <f t="shared" si="30"/>
        <v>80</v>
      </c>
      <c r="N280">
        <f t="shared" si="31"/>
        <v>75</v>
      </c>
      <c r="O280">
        <f t="shared" si="32"/>
        <v>63</v>
      </c>
      <c r="P280" t="str">
        <f t="shared" si="33"/>
        <v>Needs Improvement</v>
      </c>
      <c r="Q280" t="str">
        <f t="shared" si="34"/>
        <v>Medium</v>
      </c>
    </row>
    <row r="281" spans="1:17" x14ac:dyDescent="0.3">
      <c r="A281">
        <v>1280</v>
      </c>
      <c r="B281">
        <v>6</v>
      </c>
      <c r="C281">
        <v>7</v>
      </c>
      <c r="D281">
        <v>5</v>
      </c>
      <c r="E281">
        <v>9</v>
      </c>
      <c r="F281">
        <v>3</v>
      </c>
      <c r="G281">
        <v>5</v>
      </c>
      <c r="H281">
        <v>291</v>
      </c>
      <c r="I281">
        <v>3</v>
      </c>
      <c r="J281">
        <v>61</v>
      </c>
      <c r="K281">
        <f t="shared" si="28"/>
        <v>6</v>
      </c>
      <c r="L281">
        <f t="shared" si="29"/>
        <v>60</v>
      </c>
      <c r="M281">
        <f t="shared" si="30"/>
        <v>80</v>
      </c>
      <c r="N281">
        <f t="shared" si="31"/>
        <v>55</v>
      </c>
      <c r="O281">
        <f t="shared" si="32"/>
        <v>65</v>
      </c>
      <c r="P281" t="str">
        <f t="shared" si="33"/>
        <v>Needs Improvement</v>
      </c>
      <c r="Q281" t="str">
        <f t="shared" si="34"/>
        <v>Medium</v>
      </c>
    </row>
    <row r="282" spans="1:17" x14ac:dyDescent="0.3">
      <c r="A282">
        <v>1281</v>
      </c>
      <c r="B282">
        <v>3</v>
      </c>
      <c r="C282">
        <v>8</v>
      </c>
      <c r="D282">
        <v>3</v>
      </c>
      <c r="E282">
        <v>9</v>
      </c>
      <c r="F282">
        <v>2</v>
      </c>
      <c r="G282">
        <v>5</v>
      </c>
      <c r="H282">
        <v>249</v>
      </c>
      <c r="I282">
        <v>4</v>
      </c>
      <c r="J282">
        <v>66</v>
      </c>
      <c r="K282">
        <f t="shared" si="28"/>
        <v>5</v>
      </c>
      <c r="L282">
        <f t="shared" si="29"/>
        <v>50</v>
      </c>
      <c r="M282">
        <f t="shared" si="30"/>
        <v>60</v>
      </c>
      <c r="N282">
        <f t="shared" si="31"/>
        <v>65</v>
      </c>
      <c r="O282">
        <f t="shared" si="32"/>
        <v>58</v>
      </c>
      <c r="P282" t="str">
        <f t="shared" si="33"/>
        <v>Needs Improvement</v>
      </c>
      <c r="Q282" t="str">
        <f t="shared" si="34"/>
        <v>Medium</v>
      </c>
    </row>
    <row r="283" spans="1:17" x14ac:dyDescent="0.3">
      <c r="A283">
        <v>1282</v>
      </c>
      <c r="B283">
        <v>4</v>
      </c>
      <c r="C283">
        <v>7</v>
      </c>
      <c r="D283">
        <v>7</v>
      </c>
      <c r="E283">
        <v>6</v>
      </c>
      <c r="F283">
        <v>3</v>
      </c>
      <c r="G283">
        <v>1</v>
      </c>
      <c r="H283">
        <v>379</v>
      </c>
      <c r="I283">
        <v>5</v>
      </c>
      <c r="J283">
        <v>70</v>
      </c>
      <c r="K283">
        <f t="shared" si="28"/>
        <v>5.4</v>
      </c>
      <c r="L283">
        <f t="shared" si="29"/>
        <v>54</v>
      </c>
      <c r="M283">
        <f t="shared" si="30"/>
        <v>80</v>
      </c>
      <c r="N283">
        <f t="shared" si="31"/>
        <v>55</v>
      </c>
      <c r="O283">
        <f t="shared" si="32"/>
        <v>62</v>
      </c>
      <c r="P283" t="str">
        <f t="shared" si="33"/>
        <v>Needs Improvement</v>
      </c>
      <c r="Q283" t="str">
        <f t="shared" si="34"/>
        <v>Medium</v>
      </c>
    </row>
    <row r="284" spans="1:17" x14ac:dyDescent="0.3">
      <c r="A284">
        <v>1283</v>
      </c>
      <c r="B284">
        <v>9</v>
      </c>
      <c r="C284">
        <v>8</v>
      </c>
      <c r="D284">
        <v>6</v>
      </c>
      <c r="E284">
        <v>10</v>
      </c>
      <c r="F284">
        <v>10</v>
      </c>
      <c r="G284">
        <v>0</v>
      </c>
      <c r="H284">
        <v>383</v>
      </c>
      <c r="I284">
        <v>2</v>
      </c>
      <c r="J284">
        <v>66</v>
      </c>
      <c r="K284">
        <f t="shared" si="28"/>
        <v>8.6</v>
      </c>
      <c r="L284">
        <f t="shared" si="29"/>
        <v>86</v>
      </c>
      <c r="M284">
        <f t="shared" si="30"/>
        <v>80</v>
      </c>
      <c r="N284">
        <f t="shared" si="31"/>
        <v>20</v>
      </c>
      <c r="O284">
        <f t="shared" si="32"/>
        <v>64</v>
      </c>
      <c r="P284" t="str">
        <f t="shared" si="33"/>
        <v>Needs Improvement</v>
      </c>
      <c r="Q284" t="str">
        <f t="shared" si="34"/>
        <v>Medium</v>
      </c>
    </row>
    <row r="285" spans="1:17" x14ac:dyDescent="0.3">
      <c r="A285">
        <v>1284</v>
      </c>
      <c r="B285">
        <v>8</v>
      </c>
      <c r="C285">
        <v>2</v>
      </c>
      <c r="D285">
        <v>1</v>
      </c>
      <c r="E285">
        <v>9</v>
      </c>
      <c r="F285">
        <v>10</v>
      </c>
      <c r="G285">
        <v>7</v>
      </c>
      <c r="H285">
        <v>459</v>
      </c>
      <c r="I285">
        <v>5</v>
      </c>
      <c r="J285">
        <v>63</v>
      </c>
      <c r="K285">
        <f t="shared" si="28"/>
        <v>6</v>
      </c>
      <c r="L285">
        <f t="shared" si="29"/>
        <v>60</v>
      </c>
      <c r="M285">
        <f t="shared" si="30"/>
        <v>100</v>
      </c>
      <c r="N285">
        <f t="shared" si="31"/>
        <v>85</v>
      </c>
      <c r="O285">
        <f t="shared" si="32"/>
        <v>80</v>
      </c>
      <c r="P285" t="str">
        <f t="shared" si="33"/>
        <v>Needs Improvement</v>
      </c>
      <c r="Q285" t="str">
        <f t="shared" si="34"/>
        <v>High</v>
      </c>
    </row>
    <row r="286" spans="1:17" x14ac:dyDescent="0.3">
      <c r="A286">
        <v>1285</v>
      </c>
      <c r="B286">
        <v>9</v>
      </c>
      <c r="C286">
        <v>9</v>
      </c>
      <c r="D286">
        <v>8</v>
      </c>
      <c r="E286">
        <v>6</v>
      </c>
      <c r="F286">
        <v>5</v>
      </c>
      <c r="G286">
        <v>1</v>
      </c>
      <c r="H286">
        <v>142</v>
      </c>
      <c r="I286">
        <v>0</v>
      </c>
      <c r="J286">
        <v>95</v>
      </c>
      <c r="K286">
        <f t="shared" si="28"/>
        <v>7.4</v>
      </c>
      <c r="L286">
        <f t="shared" si="29"/>
        <v>74</v>
      </c>
      <c r="M286">
        <f t="shared" si="30"/>
        <v>40</v>
      </c>
      <c r="N286">
        <f t="shared" si="31"/>
        <v>5</v>
      </c>
      <c r="O286">
        <f t="shared" si="32"/>
        <v>43</v>
      </c>
      <c r="P286" t="str">
        <f t="shared" si="33"/>
        <v>Placement Ready</v>
      </c>
      <c r="Q286" t="str">
        <f t="shared" si="34"/>
        <v>Medium</v>
      </c>
    </row>
    <row r="287" spans="1:17" x14ac:dyDescent="0.3">
      <c r="A287">
        <v>1286</v>
      </c>
      <c r="B287">
        <v>4</v>
      </c>
      <c r="C287">
        <v>7</v>
      </c>
      <c r="D287">
        <v>9</v>
      </c>
      <c r="E287">
        <v>3</v>
      </c>
      <c r="F287">
        <v>2</v>
      </c>
      <c r="G287">
        <v>6</v>
      </c>
      <c r="H287">
        <v>487</v>
      </c>
      <c r="I287">
        <v>4</v>
      </c>
      <c r="J287">
        <v>40</v>
      </c>
      <c r="K287">
        <f t="shared" si="28"/>
        <v>5</v>
      </c>
      <c r="L287">
        <f t="shared" si="29"/>
        <v>50</v>
      </c>
      <c r="M287">
        <f t="shared" si="30"/>
        <v>100</v>
      </c>
      <c r="N287">
        <f t="shared" si="31"/>
        <v>70</v>
      </c>
      <c r="O287">
        <f t="shared" si="32"/>
        <v>71</v>
      </c>
      <c r="P287" t="str">
        <f t="shared" si="33"/>
        <v>Not Ready</v>
      </c>
      <c r="Q287" t="str">
        <f t="shared" si="34"/>
        <v>High</v>
      </c>
    </row>
    <row r="288" spans="1:17" x14ac:dyDescent="0.3">
      <c r="A288">
        <v>1287</v>
      </c>
      <c r="B288">
        <v>8</v>
      </c>
      <c r="C288">
        <v>8</v>
      </c>
      <c r="D288">
        <v>4</v>
      </c>
      <c r="E288">
        <v>8</v>
      </c>
      <c r="F288">
        <v>1</v>
      </c>
      <c r="G288">
        <v>4</v>
      </c>
      <c r="H288">
        <v>318</v>
      </c>
      <c r="I288">
        <v>1</v>
      </c>
      <c r="J288">
        <v>69</v>
      </c>
      <c r="K288">
        <f t="shared" si="28"/>
        <v>5.8</v>
      </c>
      <c r="L288">
        <f t="shared" si="29"/>
        <v>58</v>
      </c>
      <c r="M288">
        <f t="shared" si="30"/>
        <v>80</v>
      </c>
      <c r="N288">
        <f t="shared" si="31"/>
        <v>30</v>
      </c>
      <c r="O288">
        <f t="shared" si="32"/>
        <v>56</v>
      </c>
      <c r="P288" t="str">
        <f t="shared" si="33"/>
        <v>Needs Improvement</v>
      </c>
      <c r="Q288" t="str">
        <f t="shared" si="34"/>
        <v>Medium</v>
      </c>
    </row>
    <row r="289" spans="1:17" x14ac:dyDescent="0.3">
      <c r="A289">
        <v>1288</v>
      </c>
      <c r="B289">
        <v>8</v>
      </c>
      <c r="C289">
        <v>1</v>
      </c>
      <c r="D289">
        <v>1</v>
      </c>
      <c r="E289">
        <v>9</v>
      </c>
      <c r="F289">
        <v>2</v>
      </c>
      <c r="G289">
        <v>3</v>
      </c>
      <c r="H289">
        <v>368</v>
      </c>
      <c r="I289">
        <v>0</v>
      </c>
      <c r="J289">
        <v>44</v>
      </c>
      <c r="K289">
        <f t="shared" si="28"/>
        <v>4.2</v>
      </c>
      <c r="L289">
        <f t="shared" si="29"/>
        <v>42</v>
      </c>
      <c r="M289">
        <f t="shared" si="30"/>
        <v>80</v>
      </c>
      <c r="N289">
        <f t="shared" si="31"/>
        <v>15</v>
      </c>
      <c r="O289">
        <f t="shared" si="32"/>
        <v>45</v>
      </c>
      <c r="P289" t="str">
        <f t="shared" si="33"/>
        <v>Not Ready</v>
      </c>
      <c r="Q289" t="str">
        <f t="shared" si="34"/>
        <v>Medium</v>
      </c>
    </row>
    <row r="290" spans="1:17" x14ac:dyDescent="0.3">
      <c r="A290">
        <v>1289</v>
      </c>
      <c r="B290">
        <v>1</v>
      </c>
      <c r="C290">
        <v>9</v>
      </c>
      <c r="D290">
        <v>8</v>
      </c>
      <c r="E290">
        <v>3</v>
      </c>
      <c r="F290">
        <v>1</v>
      </c>
      <c r="G290">
        <v>8</v>
      </c>
      <c r="H290">
        <v>153</v>
      </c>
      <c r="I290">
        <v>5</v>
      </c>
      <c r="J290">
        <v>72</v>
      </c>
      <c r="K290">
        <f t="shared" si="28"/>
        <v>4.4000000000000004</v>
      </c>
      <c r="L290">
        <f t="shared" si="29"/>
        <v>44</v>
      </c>
      <c r="M290">
        <f t="shared" si="30"/>
        <v>60</v>
      </c>
      <c r="N290">
        <f t="shared" si="31"/>
        <v>90</v>
      </c>
      <c r="O290">
        <f t="shared" si="32"/>
        <v>63</v>
      </c>
      <c r="P290" t="str">
        <f t="shared" si="33"/>
        <v>Needs Improvement</v>
      </c>
      <c r="Q290" t="str">
        <f t="shared" si="34"/>
        <v>Medium</v>
      </c>
    </row>
    <row r="291" spans="1:17" x14ac:dyDescent="0.3">
      <c r="A291">
        <v>1290</v>
      </c>
      <c r="B291">
        <v>10</v>
      </c>
      <c r="C291">
        <v>3</v>
      </c>
      <c r="D291">
        <v>2</v>
      </c>
      <c r="E291">
        <v>9</v>
      </c>
      <c r="F291">
        <v>2</v>
      </c>
      <c r="G291">
        <v>0</v>
      </c>
      <c r="H291">
        <v>238</v>
      </c>
      <c r="I291">
        <v>2</v>
      </c>
      <c r="J291">
        <v>95</v>
      </c>
      <c r="K291">
        <f t="shared" si="28"/>
        <v>5.2</v>
      </c>
      <c r="L291">
        <f t="shared" si="29"/>
        <v>52</v>
      </c>
      <c r="M291">
        <f t="shared" si="30"/>
        <v>60</v>
      </c>
      <c r="N291">
        <f t="shared" si="31"/>
        <v>20</v>
      </c>
      <c r="O291">
        <f t="shared" si="32"/>
        <v>45</v>
      </c>
      <c r="P291" t="str">
        <f t="shared" si="33"/>
        <v>Placement Ready</v>
      </c>
      <c r="Q291" t="str">
        <f t="shared" si="34"/>
        <v>Medium</v>
      </c>
    </row>
    <row r="292" spans="1:17" x14ac:dyDescent="0.3">
      <c r="A292">
        <v>1291</v>
      </c>
      <c r="B292">
        <v>4</v>
      </c>
      <c r="C292">
        <v>9</v>
      </c>
      <c r="D292">
        <v>5</v>
      </c>
      <c r="E292">
        <v>5</v>
      </c>
      <c r="F292">
        <v>2</v>
      </c>
      <c r="G292">
        <v>5</v>
      </c>
      <c r="H292">
        <v>354</v>
      </c>
      <c r="I292">
        <v>5</v>
      </c>
      <c r="J292">
        <v>78</v>
      </c>
      <c r="K292">
        <f t="shared" si="28"/>
        <v>5</v>
      </c>
      <c r="L292">
        <f t="shared" si="29"/>
        <v>50</v>
      </c>
      <c r="M292">
        <f t="shared" si="30"/>
        <v>80</v>
      </c>
      <c r="N292">
        <f t="shared" si="31"/>
        <v>75</v>
      </c>
      <c r="O292">
        <f t="shared" si="32"/>
        <v>67</v>
      </c>
      <c r="P292" t="str">
        <f t="shared" si="33"/>
        <v>Placement Ready</v>
      </c>
      <c r="Q292" t="str">
        <f t="shared" si="34"/>
        <v>Medium</v>
      </c>
    </row>
    <row r="293" spans="1:17" x14ac:dyDescent="0.3">
      <c r="A293">
        <v>1292</v>
      </c>
      <c r="B293">
        <v>5</v>
      </c>
      <c r="C293">
        <v>8</v>
      </c>
      <c r="D293">
        <v>4</v>
      </c>
      <c r="E293">
        <v>8</v>
      </c>
      <c r="F293">
        <v>7</v>
      </c>
      <c r="G293">
        <v>2</v>
      </c>
      <c r="H293">
        <v>147</v>
      </c>
      <c r="I293">
        <v>0</v>
      </c>
      <c r="J293">
        <v>51</v>
      </c>
      <c r="K293">
        <f t="shared" si="28"/>
        <v>6.4</v>
      </c>
      <c r="L293">
        <f t="shared" si="29"/>
        <v>64</v>
      </c>
      <c r="M293">
        <f t="shared" si="30"/>
        <v>40</v>
      </c>
      <c r="N293">
        <f t="shared" si="31"/>
        <v>10</v>
      </c>
      <c r="O293">
        <f t="shared" si="32"/>
        <v>41</v>
      </c>
      <c r="P293" t="str">
        <f t="shared" si="33"/>
        <v>Needs Improvement</v>
      </c>
      <c r="Q293" t="str">
        <f t="shared" si="34"/>
        <v>Medium</v>
      </c>
    </row>
    <row r="294" spans="1:17" x14ac:dyDescent="0.3">
      <c r="A294">
        <v>1293</v>
      </c>
      <c r="B294">
        <v>9</v>
      </c>
      <c r="C294">
        <v>5</v>
      </c>
      <c r="D294">
        <v>4</v>
      </c>
      <c r="E294">
        <v>1</v>
      </c>
      <c r="F294">
        <v>8</v>
      </c>
      <c r="G294">
        <v>3</v>
      </c>
      <c r="H294">
        <v>192</v>
      </c>
      <c r="I294">
        <v>1</v>
      </c>
      <c r="J294">
        <v>44</v>
      </c>
      <c r="K294">
        <f t="shared" si="28"/>
        <v>5.4</v>
      </c>
      <c r="L294">
        <f t="shared" si="29"/>
        <v>54</v>
      </c>
      <c r="M294">
        <f t="shared" si="30"/>
        <v>60</v>
      </c>
      <c r="N294">
        <f t="shared" si="31"/>
        <v>25</v>
      </c>
      <c r="O294">
        <f t="shared" si="32"/>
        <v>47</v>
      </c>
      <c r="P294" t="str">
        <f t="shared" si="33"/>
        <v>Not Ready</v>
      </c>
      <c r="Q294" t="str">
        <f t="shared" si="34"/>
        <v>Medium</v>
      </c>
    </row>
    <row r="295" spans="1:17" x14ac:dyDescent="0.3">
      <c r="A295">
        <v>1294</v>
      </c>
      <c r="B295">
        <v>1</v>
      </c>
      <c r="C295">
        <v>6</v>
      </c>
      <c r="D295">
        <v>6</v>
      </c>
      <c r="E295">
        <v>3</v>
      </c>
      <c r="F295">
        <v>2</v>
      </c>
      <c r="G295">
        <v>0</v>
      </c>
      <c r="H295">
        <v>417</v>
      </c>
      <c r="I295">
        <v>2</v>
      </c>
      <c r="J295">
        <v>45</v>
      </c>
      <c r="K295">
        <f t="shared" si="28"/>
        <v>3.6</v>
      </c>
      <c r="L295">
        <f t="shared" si="29"/>
        <v>36</v>
      </c>
      <c r="M295">
        <f t="shared" si="30"/>
        <v>100</v>
      </c>
      <c r="N295">
        <f t="shared" si="31"/>
        <v>20</v>
      </c>
      <c r="O295">
        <f t="shared" si="32"/>
        <v>50</v>
      </c>
      <c r="P295" t="str">
        <f t="shared" si="33"/>
        <v>Not Ready</v>
      </c>
      <c r="Q295" t="str">
        <f t="shared" si="34"/>
        <v>Medium</v>
      </c>
    </row>
    <row r="296" spans="1:17" x14ac:dyDescent="0.3">
      <c r="A296">
        <v>1295</v>
      </c>
      <c r="B296">
        <v>8</v>
      </c>
      <c r="C296">
        <v>6</v>
      </c>
      <c r="D296">
        <v>4</v>
      </c>
      <c r="E296">
        <v>1</v>
      </c>
      <c r="F296">
        <v>5</v>
      </c>
      <c r="G296">
        <v>1</v>
      </c>
      <c r="H296">
        <v>454</v>
      </c>
      <c r="I296">
        <v>2</v>
      </c>
      <c r="J296">
        <v>68</v>
      </c>
      <c r="K296">
        <f t="shared" si="28"/>
        <v>4.8</v>
      </c>
      <c r="L296">
        <f t="shared" si="29"/>
        <v>48</v>
      </c>
      <c r="M296">
        <f t="shared" si="30"/>
        <v>100</v>
      </c>
      <c r="N296">
        <f t="shared" si="31"/>
        <v>25</v>
      </c>
      <c r="O296">
        <f t="shared" si="32"/>
        <v>57</v>
      </c>
      <c r="P296" t="str">
        <f t="shared" si="33"/>
        <v>Needs Improvement</v>
      </c>
      <c r="Q296" t="str">
        <f t="shared" si="34"/>
        <v>Medium</v>
      </c>
    </row>
    <row r="297" spans="1:17" x14ac:dyDescent="0.3">
      <c r="A297">
        <v>1296</v>
      </c>
      <c r="B297">
        <v>5</v>
      </c>
      <c r="C297">
        <v>8</v>
      </c>
      <c r="D297">
        <v>3</v>
      </c>
      <c r="E297">
        <v>9</v>
      </c>
      <c r="F297">
        <v>4</v>
      </c>
      <c r="G297">
        <v>1</v>
      </c>
      <c r="H297">
        <v>311</v>
      </c>
      <c r="I297">
        <v>2</v>
      </c>
      <c r="J297">
        <v>74</v>
      </c>
      <c r="K297">
        <f t="shared" si="28"/>
        <v>5.8</v>
      </c>
      <c r="L297">
        <f t="shared" si="29"/>
        <v>58</v>
      </c>
      <c r="M297">
        <f t="shared" si="30"/>
        <v>80</v>
      </c>
      <c r="N297">
        <f t="shared" si="31"/>
        <v>25</v>
      </c>
      <c r="O297">
        <f t="shared" si="32"/>
        <v>55</v>
      </c>
      <c r="P297" t="str">
        <f t="shared" si="33"/>
        <v>Needs Improvement</v>
      </c>
      <c r="Q297" t="str">
        <f t="shared" si="34"/>
        <v>Medium</v>
      </c>
    </row>
    <row r="298" spans="1:17" x14ac:dyDescent="0.3">
      <c r="A298">
        <v>1297</v>
      </c>
      <c r="B298">
        <v>1</v>
      </c>
      <c r="C298">
        <v>3</v>
      </c>
      <c r="D298">
        <v>4</v>
      </c>
      <c r="E298">
        <v>6</v>
      </c>
      <c r="F298">
        <v>4</v>
      </c>
      <c r="G298">
        <v>3</v>
      </c>
      <c r="H298">
        <v>206</v>
      </c>
      <c r="I298">
        <v>1</v>
      </c>
      <c r="J298">
        <v>45</v>
      </c>
      <c r="K298">
        <f t="shared" si="28"/>
        <v>3.6</v>
      </c>
      <c r="L298">
        <f t="shared" si="29"/>
        <v>36</v>
      </c>
      <c r="M298">
        <f t="shared" si="30"/>
        <v>60</v>
      </c>
      <c r="N298">
        <f t="shared" si="31"/>
        <v>25</v>
      </c>
      <c r="O298">
        <f t="shared" si="32"/>
        <v>40</v>
      </c>
      <c r="P298" t="str">
        <f t="shared" si="33"/>
        <v>Not Ready</v>
      </c>
      <c r="Q298" t="str">
        <f t="shared" si="34"/>
        <v>Medium</v>
      </c>
    </row>
    <row r="299" spans="1:17" x14ac:dyDescent="0.3">
      <c r="A299">
        <v>1298</v>
      </c>
      <c r="B299">
        <v>8</v>
      </c>
      <c r="C299">
        <v>7</v>
      </c>
      <c r="D299">
        <v>4</v>
      </c>
      <c r="E299">
        <v>8</v>
      </c>
      <c r="F299">
        <v>9</v>
      </c>
      <c r="G299">
        <v>3</v>
      </c>
      <c r="H299">
        <v>294</v>
      </c>
      <c r="I299">
        <v>5</v>
      </c>
      <c r="J299">
        <v>47</v>
      </c>
      <c r="K299">
        <f t="shared" si="28"/>
        <v>7.2</v>
      </c>
      <c r="L299">
        <f t="shared" si="29"/>
        <v>72</v>
      </c>
      <c r="M299">
        <f t="shared" si="30"/>
        <v>80</v>
      </c>
      <c r="N299">
        <f t="shared" si="31"/>
        <v>65</v>
      </c>
      <c r="O299">
        <f t="shared" si="32"/>
        <v>72</v>
      </c>
      <c r="P299" t="str">
        <f t="shared" si="33"/>
        <v>Not Ready</v>
      </c>
      <c r="Q299" t="str">
        <f t="shared" si="34"/>
        <v>High</v>
      </c>
    </row>
    <row r="300" spans="1:17" x14ac:dyDescent="0.3">
      <c r="A300">
        <v>1299</v>
      </c>
      <c r="B300">
        <v>1</v>
      </c>
      <c r="C300">
        <v>9</v>
      </c>
      <c r="D300">
        <v>3</v>
      </c>
      <c r="E300">
        <v>2</v>
      </c>
      <c r="F300">
        <v>6</v>
      </c>
      <c r="G300">
        <v>0</v>
      </c>
      <c r="H300">
        <v>372</v>
      </c>
      <c r="I300">
        <v>5</v>
      </c>
      <c r="J300">
        <v>72</v>
      </c>
      <c r="K300">
        <f t="shared" si="28"/>
        <v>4.2</v>
      </c>
      <c r="L300">
        <f t="shared" si="29"/>
        <v>42</v>
      </c>
      <c r="M300">
        <f t="shared" si="30"/>
        <v>80</v>
      </c>
      <c r="N300">
        <f t="shared" si="31"/>
        <v>50</v>
      </c>
      <c r="O300">
        <f t="shared" si="32"/>
        <v>56</v>
      </c>
      <c r="P300" t="str">
        <f t="shared" si="33"/>
        <v>Needs Improvement</v>
      </c>
      <c r="Q300" t="str">
        <f t="shared" si="34"/>
        <v>Medium</v>
      </c>
    </row>
    <row r="301" spans="1:17" x14ac:dyDescent="0.3">
      <c r="A301">
        <v>1300</v>
      </c>
      <c r="B301">
        <v>1</v>
      </c>
      <c r="C301">
        <v>1</v>
      </c>
      <c r="D301">
        <v>3</v>
      </c>
      <c r="E301">
        <v>9</v>
      </c>
      <c r="F301">
        <v>7</v>
      </c>
      <c r="G301">
        <v>4</v>
      </c>
      <c r="H301">
        <v>64</v>
      </c>
      <c r="I301">
        <v>0</v>
      </c>
      <c r="J301">
        <v>62</v>
      </c>
      <c r="K301">
        <f t="shared" si="28"/>
        <v>4.2</v>
      </c>
      <c r="L301">
        <f t="shared" si="29"/>
        <v>42</v>
      </c>
      <c r="M301">
        <f t="shared" si="30"/>
        <v>40</v>
      </c>
      <c r="N301">
        <f t="shared" si="31"/>
        <v>20</v>
      </c>
      <c r="O301">
        <f t="shared" si="32"/>
        <v>35</v>
      </c>
      <c r="P301" t="str">
        <f t="shared" si="33"/>
        <v>Needs Improvement</v>
      </c>
      <c r="Q301" t="str">
        <f t="shared" si="34"/>
        <v>Low</v>
      </c>
    </row>
    <row r="302" spans="1:17" x14ac:dyDescent="0.3">
      <c r="A302">
        <v>1301</v>
      </c>
      <c r="B302">
        <v>9</v>
      </c>
      <c r="C302">
        <v>9</v>
      </c>
      <c r="D302">
        <v>9</v>
      </c>
      <c r="E302">
        <v>9</v>
      </c>
      <c r="F302">
        <v>2</v>
      </c>
      <c r="G302">
        <v>4</v>
      </c>
      <c r="H302">
        <v>135</v>
      </c>
      <c r="I302">
        <v>3</v>
      </c>
      <c r="J302">
        <v>72</v>
      </c>
      <c r="K302">
        <f t="shared" si="28"/>
        <v>7.6</v>
      </c>
      <c r="L302">
        <f t="shared" si="29"/>
        <v>76</v>
      </c>
      <c r="M302">
        <f t="shared" si="30"/>
        <v>40</v>
      </c>
      <c r="N302">
        <f t="shared" si="31"/>
        <v>50</v>
      </c>
      <c r="O302">
        <f t="shared" si="32"/>
        <v>57</v>
      </c>
      <c r="P302" t="str">
        <f t="shared" si="33"/>
        <v>Needs Improvement</v>
      </c>
      <c r="Q302" t="str">
        <f t="shared" si="34"/>
        <v>Medium</v>
      </c>
    </row>
    <row r="303" spans="1:17" x14ac:dyDescent="0.3">
      <c r="A303">
        <v>1302</v>
      </c>
      <c r="B303">
        <v>4</v>
      </c>
      <c r="C303">
        <v>4</v>
      </c>
      <c r="D303">
        <v>1</v>
      </c>
      <c r="E303">
        <v>5</v>
      </c>
      <c r="F303">
        <v>5</v>
      </c>
      <c r="G303">
        <v>7</v>
      </c>
      <c r="H303">
        <v>130</v>
      </c>
      <c r="I303">
        <v>0</v>
      </c>
      <c r="J303">
        <v>74</v>
      </c>
      <c r="K303">
        <f t="shared" si="28"/>
        <v>3.8</v>
      </c>
      <c r="L303">
        <f t="shared" si="29"/>
        <v>38</v>
      </c>
      <c r="M303">
        <f t="shared" si="30"/>
        <v>40</v>
      </c>
      <c r="N303">
        <f t="shared" si="31"/>
        <v>35</v>
      </c>
      <c r="O303">
        <f t="shared" si="32"/>
        <v>38</v>
      </c>
      <c r="P303" t="str">
        <f t="shared" si="33"/>
        <v>Needs Improvement</v>
      </c>
      <c r="Q303" t="str">
        <f t="shared" si="34"/>
        <v>Low</v>
      </c>
    </row>
    <row r="304" spans="1:17" x14ac:dyDescent="0.3">
      <c r="A304">
        <v>1303</v>
      </c>
      <c r="B304">
        <v>3</v>
      </c>
      <c r="C304">
        <v>3</v>
      </c>
      <c r="D304">
        <v>4</v>
      </c>
      <c r="E304">
        <v>1</v>
      </c>
      <c r="F304">
        <v>5</v>
      </c>
      <c r="G304">
        <v>0</v>
      </c>
      <c r="H304">
        <v>115</v>
      </c>
      <c r="I304">
        <v>2</v>
      </c>
      <c r="J304">
        <v>76</v>
      </c>
      <c r="K304">
        <f t="shared" si="28"/>
        <v>3.2</v>
      </c>
      <c r="L304">
        <f t="shared" si="29"/>
        <v>32</v>
      </c>
      <c r="M304">
        <f t="shared" si="30"/>
        <v>40</v>
      </c>
      <c r="N304">
        <f t="shared" si="31"/>
        <v>20</v>
      </c>
      <c r="O304">
        <f t="shared" si="32"/>
        <v>31</v>
      </c>
      <c r="P304" t="str">
        <f t="shared" si="33"/>
        <v>Placement Ready</v>
      </c>
      <c r="Q304" t="str">
        <f t="shared" si="34"/>
        <v>Low</v>
      </c>
    </row>
    <row r="305" spans="1:17" x14ac:dyDescent="0.3">
      <c r="A305">
        <v>1304</v>
      </c>
      <c r="B305">
        <v>9</v>
      </c>
      <c r="C305">
        <v>4</v>
      </c>
      <c r="D305">
        <v>6</v>
      </c>
      <c r="E305">
        <v>7</v>
      </c>
      <c r="F305">
        <v>3</v>
      </c>
      <c r="G305">
        <v>6</v>
      </c>
      <c r="H305">
        <v>499</v>
      </c>
      <c r="I305">
        <v>5</v>
      </c>
      <c r="J305">
        <v>44</v>
      </c>
      <c r="K305">
        <f t="shared" si="28"/>
        <v>5.8</v>
      </c>
      <c r="L305">
        <f t="shared" si="29"/>
        <v>58</v>
      </c>
      <c r="M305">
        <f t="shared" si="30"/>
        <v>100</v>
      </c>
      <c r="N305">
        <f t="shared" si="31"/>
        <v>80</v>
      </c>
      <c r="O305">
        <f t="shared" si="32"/>
        <v>77</v>
      </c>
      <c r="P305" t="str">
        <f t="shared" si="33"/>
        <v>Not Ready</v>
      </c>
      <c r="Q305" t="str">
        <f t="shared" si="34"/>
        <v>High</v>
      </c>
    </row>
    <row r="306" spans="1:17" x14ac:dyDescent="0.3">
      <c r="A306">
        <v>1305</v>
      </c>
      <c r="B306">
        <v>6</v>
      </c>
      <c r="C306">
        <v>9</v>
      </c>
      <c r="D306">
        <v>9</v>
      </c>
      <c r="E306">
        <v>1</v>
      </c>
      <c r="F306">
        <v>7</v>
      </c>
      <c r="G306">
        <v>8</v>
      </c>
      <c r="H306">
        <v>260</v>
      </c>
      <c r="I306">
        <v>3</v>
      </c>
      <c r="J306">
        <v>55</v>
      </c>
      <c r="K306">
        <f t="shared" si="28"/>
        <v>6.4</v>
      </c>
      <c r="L306">
        <f t="shared" si="29"/>
        <v>64</v>
      </c>
      <c r="M306">
        <f t="shared" si="30"/>
        <v>80</v>
      </c>
      <c r="N306">
        <f t="shared" si="31"/>
        <v>70</v>
      </c>
      <c r="O306">
        <f t="shared" si="32"/>
        <v>71</v>
      </c>
      <c r="P306" t="str">
        <f t="shared" si="33"/>
        <v>Needs Improvement</v>
      </c>
      <c r="Q306" t="str">
        <f t="shared" si="34"/>
        <v>High</v>
      </c>
    </row>
    <row r="307" spans="1:17" x14ac:dyDescent="0.3">
      <c r="A307">
        <v>1306</v>
      </c>
      <c r="B307">
        <v>6</v>
      </c>
      <c r="C307">
        <v>7</v>
      </c>
      <c r="D307">
        <v>4</v>
      </c>
      <c r="E307">
        <v>3</v>
      </c>
      <c r="F307">
        <v>6</v>
      </c>
      <c r="G307">
        <v>1</v>
      </c>
      <c r="H307">
        <v>131</v>
      </c>
      <c r="I307">
        <v>5</v>
      </c>
      <c r="J307">
        <v>85</v>
      </c>
      <c r="K307">
        <f t="shared" si="28"/>
        <v>5.2</v>
      </c>
      <c r="L307">
        <f t="shared" si="29"/>
        <v>52</v>
      </c>
      <c r="M307">
        <f t="shared" si="30"/>
        <v>40</v>
      </c>
      <c r="N307">
        <f t="shared" si="31"/>
        <v>55</v>
      </c>
      <c r="O307">
        <f t="shared" si="32"/>
        <v>49</v>
      </c>
      <c r="P307" t="str">
        <f t="shared" si="33"/>
        <v>Placement Ready</v>
      </c>
      <c r="Q307" t="str">
        <f t="shared" si="34"/>
        <v>Medium</v>
      </c>
    </row>
    <row r="308" spans="1:17" x14ac:dyDescent="0.3">
      <c r="A308">
        <v>1307</v>
      </c>
      <c r="B308">
        <v>7</v>
      </c>
      <c r="C308">
        <v>7</v>
      </c>
      <c r="D308">
        <v>8</v>
      </c>
      <c r="E308">
        <v>9</v>
      </c>
      <c r="F308">
        <v>3</v>
      </c>
      <c r="G308">
        <v>3</v>
      </c>
      <c r="H308">
        <v>192</v>
      </c>
      <c r="I308">
        <v>4</v>
      </c>
      <c r="J308">
        <v>47</v>
      </c>
      <c r="K308">
        <f t="shared" si="28"/>
        <v>6.8</v>
      </c>
      <c r="L308">
        <f t="shared" si="29"/>
        <v>68</v>
      </c>
      <c r="M308">
        <f t="shared" si="30"/>
        <v>60</v>
      </c>
      <c r="N308">
        <f t="shared" si="31"/>
        <v>55</v>
      </c>
      <c r="O308">
        <f t="shared" si="32"/>
        <v>62</v>
      </c>
      <c r="P308" t="str">
        <f t="shared" si="33"/>
        <v>Not Ready</v>
      </c>
      <c r="Q308" t="str">
        <f t="shared" si="34"/>
        <v>Medium</v>
      </c>
    </row>
    <row r="309" spans="1:17" x14ac:dyDescent="0.3">
      <c r="A309">
        <v>1308</v>
      </c>
      <c r="B309">
        <v>1</v>
      </c>
      <c r="C309">
        <v>2</v>
      </c>
      <c r="D309">
        <v>4</v>
      </c>
      <c r="E309">
        <v>7</v>
      </c>
      <c r="F309">
        <v>5</v>
      </c>
      <c r="G309">
        <v>2</v>
      </c>
      <c r="H309">
        <v>365</v>
      </c>
      <c r="I309">
        <v>4</v>
      </c>
      <c r="J309">
        <v>49</v>
      </c>
      <c r="K309">
        <f t="shared" si="28"/>
        <v>3.8</v>
      </c>
      <c r="L309">
        <f t="shared" si="29"/>
        <v>38</v>
      </c>
      <c r="M309">
        <f t="shared" si="30"/>
        <v>80</v>
      </c>
      <c r="N309">
        <f t="shared" si="31"/>
        <v>50</v>
      </c>
      <c r="O309">
        <f t="shared" si="32"/>
        <v>54</v>
      </c>
      <c r="P309" t="str">
        <f t="shared" si="33"/>
        <v>Not Ready</v>
      </c>
      <c r="Q309" t="str">
        <f t="shared" si="34"/>
        <v>Medium</v>
      </c>
    </row>
    <row r="310" spans="1:17" x14ac:dyDescent="0.3">
      <c r="A310">
        <v>1309</v>
      </c>
      <c r="B310">
        <v>2</v>
      </c>
      <c r="C310">
        <v>7</v>
      </c>
      <c r="D310">
        <v>9</v>
      </c>
      <c r="E310">
        <v>10</v>
      </c>
      <c r="F310">
        <v>6</v>
      </c>
      <c r="G310">
        <v>3</v>
      </c>
      <c r="H310">
        <v>409</v>
      </c>
      <c r="I310">
        <v>3</v>
      </c>
      <c r="J310">
        <v>48</v>
      </c>
      <c r="K310">
        <f t="shared" si="28"/>
        <v>6.8</v>
      </c>
      <c r="L310">
        <f t="shared" si="29"/>
        <v>68</v>
      </c>
      <c r="M310">
        <f t="shared" si="30"/>
        <v>100</v>
      </c>
      <c r="N310">
        <f t="shared" si="31"/>
        <v>45</v>
      </c>
      <c r="O310">
        <f t="shared" si="32"/>
        <v>71</v>
      </c>
      <c r="P310" t="str">
        <f t="shared" si="33"/>
        <v>Not Ready</v>
      </c>
      <c r="Q310" t="str">
        <f t="shared" si="34"/>
        <v>High</v>
      </c>
    </row>
    <row r="311" spans="1:17" x14ac:dyDescent="0.3">
      <c r="A311">
        <v>1310</v>
      </c>
      <c r="B311">
        <v>10</v>
      </c>
      <c r="C311">
        <v>8</v>
      </c>
      <c r="D311">
        <v>6</v>
      </c>
      <c r="E311">
        <v>10</v>
      </c>
      <c r="F311">
        <v>3</v>
      </c>
      <c r="G311">
        <v>7</v>
      </c>
      <c r="H311">
        <v>452</v>
      </c>
      <c r="I311">
        <v>3</v>
      </c>
      <c r="J311">
        <v>84</v>
      </c>
      <c r="K311">
        <f t="shared" si="28"/>
        <v>7.4</v>
      </c>
      <c r="L311">
        <f t="shared" si="29"/>
        <v>74</v>
      </c>
      <c r="M311">
        <f t="shared" si="30"/>
        <v>100</v>
      </c>
      <c r="N311">
        <f t="shared" si="31"/>
        <v>65</v>
      </c>
      <c r="O311">
        <f t="shared" si="32"/>
        <v>79</v>
      </c>
      <c r="P311" t="str">
        <f t="shared" si="33"/>
        <v>Placement Ready</v>
      </c>
      <c r="Q311" t="str">
        <f t="shared" si="34"/>
        <v>High</v>
      </c>
    </row>
    <row r="312" spans="1:17" x14ac:dyDescent="0.3">
      <c r="A312">
        <v>1311</v>
      </c>
      <c r="B312">
        <v>7</v>
      </c>
      <c r="C312">
        <v>7</v>
      </c>
      <c r="D312">
        <v>8</v>
      </c>
      <c r="E312">
        <v>9</v>
      </c>
      <c r="F312">
        <v>8</v>
      </c>
      <c r="G312">
        <v>4</v>
      </c>
      <c r="H312">
        <v>466</v>
      </c>
      <c r="I312">
        <v>3</v>
      </c>
      <c r="J312">
        <v>82</v>
      </c>
      <c r="K312">
        <f t="shared" si="28"/>
        <v>7.8</v>
      </c>
      <c r="L312">
        <f t="shared" si="29"/>
        <v>78</v>
      </c>
      <c r="M312">
        <f t="shared" si="30"/>
        <v>100</v>
      </c>
      <c r="N312">
        <f t="shared" si="31"/>
        <v>50</v>
      </c>
      <c r="O312">
        <f t="shared" si="32"/>
        <v>76</v>
      </c>
      <c r="P312" t="str">
        <f t="shared" si="33"/>
        <v>Placement Ready</v>
      </c>
      <c r="Q312" t="str">
        <f t="shared" si="34"/>
        <v>High</v>
      </c>
    </row>
    <row r="313" spans="1:17" x14ac:dyDescent="0.3">
      <c r="A313">
        <v>1312</v>
      </c>
      <c r="B313">
        <v>1</v>
      </c>
      <c r="C313">
        <v>1</v>
      </c>
      <c r="D313">
        <v>7</v>
      </c>
      <c r="E313">
        <v>8</v>
      </c>
      <c r="F313">
        <v>2</v>
      </c>
      <c r="G313">
        <v>2</v>
      </c>
      <c r="H313">
        <v>428</v>
      </c>
      <c r="I313">
        <v>5</v>
      </c>
      <c r="J313">
        <v>68</v>
      </c>
      <c r="K313">
        <f t="shared" si="28"/>
        <v>3.8</v>
      </c>
      <c r="L313">
        <f t="shared" si="29"/>
        <v>38</v>
      </c>
      <c r="M313">
        <f t="shared" si="30"/>
        <v>100</v>
      </c>
      <c r="N313">
        <f t="shared" si="31"/>
        <v>60</v>
      </c>
      <c r="O313">
        <f t="shared" si="32"/>
        <v>63</v>
      </c>
      <c r="P313" t="str">
        <f t="shared" si="33"/>
        <v>Needs Improvement</v>
      </c>
      <c r="Q313" t="str">
        <f t="shared" si="34"/>
        <v>Medium</v>
      </c>
    </row>
    <row r="314" spans="1:17" x14ac:dyDescent="0.3">
      <c r="A314">
        <v>1313</v>
      </c>
      <c r="B314">
        <v>10</v>
      </c>
      <c r="C314">
        <v>9</v>
      </c>
      <c r="D314">
        <v>10</v>
      </c>
      <c r="E314">
        <v>1</v>
      </c>
      <c r="F314">
        <v>5</v>
      </c>
      <c r="G314">
        <v>0</v>
      </c>
      <c r="H314">
        <v>406</v>
      </c>
      <c r="I314">
        <v>3</v>
      </c>
      <c r="J314">
        <v>52</v>
      </c>
      <c r="K314">
        <f t="shared" si="28"/>
        <v>7</v>
      </c>
      <c r="L314">
        <f t="shared" si="29"/>
        <v>70</v>
      </c>
      <c r="M314">
        <f t="shared" si="30"/>
        <v>100</v>
      </c>
      <c r="N314">
        <f t="shared" si="31"/>
        <v>30</v>
      </c>
      <c r="O314">
        <f t="shared" si="32"/>
        <v>67</v>
      </c>
      <c r="P314" t="str">
        <f t="shared" si="33"/>
        <v>Needs Improvement</v>
      </c>
      <c r="Q314" t="str">
        <f t="shared" si="34"/>
        <v>Medium</v>
      </c>
    </row>
    <row r="315" spans="1:17" x14ac:dyDescent="0.3">
      <c r="A315">
        <v>1314</v>
      </c>
      <c r="B315">
        <v>7</v>
      </c>
      <c r="C315">
        <v>10</v>
      </c>
      <c r="D315">
        <v>2</v>
      </c>
      <c r="E315">
        <v>7</v>
      </c>
      <c r="F315">
        <v>3</v>
      </c>
      <c r="G315">
        <v>4</v>
      </c>
      <c r="H315">
        <v>160</v>
      </c>
      <c r="I315">
        <v>2</v>
      </c>
      <c r="J315">
        <v>84</v>
      </c>
      <c r="K315">
        <f t="shared" si="28"/>
        <v>5.8</v>
      </c>
      <c r="L315">
        <f t="shared" si="29"/>
        <v>58</v>
      </c>
      <c r="M315">
        <f t="shared" si="30"/>
        <v>60</v>
      </c>
      <c r="N315">
        <f t="shared" si="31"/>
        <v>40</v>
      </c>
      <c r="O315">
        <f t="shared" si="32"/>
        <v>53</v>
      </c>
      <c r="P315" t="str">
        <f t="shared" si="33"/>
        <v>Placement Ready</v>
      </c>
      <c r="Q315" t="str">
        <f t="shared" si="34"/>
        <v>Medium</v>
      </c>
    </row>
    <row r="316" spans="1:17" x14ac:dyDescent="0.3">
      <c r="A316">
        <v>1315</v>
      </c>
      <c r="B316">
        <v>10</v>
      </c>
      <c r="C316">
        <v>8</v>
      </c>
      <c r="D316">
        <v>10</v>
      </c>
      <c r="E316">
        <v>10</v>
      </c>
      <c r="F316">
        <v>3</v>
      </c>
      <c r="G316">
        <v>2</v>
      </c>
      <c r="H316">
        <v>383</v>
      </c>
      <c r="I316">
        <v>2</v>
      </c>
      <c r="J316">
        <v>95</v>
      </c>
      <c r="K316">
        <f t="shared" si="28"/>
        <v>8.1999999999999993</v>
      </c>
      <c r="L316">
        <f t="shared" si="29"/>
        <v>82</v>
      </c>
      <c r="M316">
        <f t="shared" si="30"/>
        <v>80</v>
      </c>
      <c r="N316">
        <f t="shared" si="31"/>
        <v>30</v>
      </c>
      <c r="O316">
        <f t="shared" si="32"/>
        <v>66</v>
      </c>
      <c r="P316" t="str">
        <f t="shared" si="33"/>
        <v>Placement Ready</v>
      </c>
      <c r="Q316" t="str">
        <f t="shared" si="34"/>
        <v>Medium</v>
      </c>
    </row>
    <row r="317" spans="1:17" x14ac:dyDescent="0.3">
      <c r="A317">
        <v>1316</v>
      </c>
      <c r="B317">
        <v>2</v>
      </c>
      <c r="C317">
        <v>10</v>
      </c>
      <c r="D317">
        <v>2</v>
      </c>
      <c r="E317">
        <v>5</v>
      </c>
      <c r="F317">
        <v>4</v>
      </c>
      <c r="G317">
        <v>1</v>
      </c>
      <c r="H317">
        <v>407</v>
      </c>
      <c r="I317">
        <v>2</v>
      </c>
      <c r="J317">
        <v>51</v>
      </c>
      <c r="K317">
        <f t="shared" si="28"/>
        <v>4.5999999999999996</v>
      </c>
      <c r="L317">
        <f t="shared" si="29"/>
        <v>46</v>
      </c>
      <c r="M317">
        <f t="shared" si="30"/>
        <v>100</v>
      </c>
      <c r="N317">
        <f t="shared" si="31"/>
        <v>25</v>
      </c>
      <c r="O317">
        <f t="shared" si="32"/>
        <v>56</v>
      </c>
      <c r="P317" t="str">
        <f t="shared" si="33"/>
        <v>Needs Improvement</v>
      </c>
      <c r="Q317" t="str">
        <f t="shared" si="34"/>
        <v>Medium</v>
      </c>
    </row>
    <row r="318" spans="1:17" x14ac:dyDescent="0.3">
      <c r="A318">
        <v>1317</v>
      </c>
      <c r="B318">
        <v>1</v>
      </c>
      <c r="C318">
        <v>6</v>
      </c>
      <c r="D318">
        <v>5</v>
      </c>
      <c r="E318">
        <v>5</v>
      </c>
      <c r="F318">
        <v>10</v>
      </c>
      <c r="G318">
        <v>5</v>
      </c>
      <c r="H318">
        <v>218</v>
      </c>
      <c r="I318">
        <v>5</v>
      </c>
      <c r="J318">
        <v>78</v>
      </c>
      <c r="K318">
        <f t="shared" si="28"/>
        <v>5.4</v>
      </c>
      <c r="L318">
        <f t="shared" si="29"/>
        <v>54</v>
      </c>
      <c r="M318">
        <f t="shared" si="30"/>
        <v>60</v>
      </c>
      <c r="N318">
        <f t="shared" si="31"/>
        <v>75</v>
      </c>
      <c r="O318">
        <f t="shared" si="32"/>
        <v>62</v>
      </c>
      <c r="P318" t="str">
        <f t="shared" si="33"/>
        <v>Placement Ready</v>
      </c>
      <c r="Q318" t="str">
        <f t="shared" si="34"/>
        <v>Medium</v>
      </c>
    </row>
    <row r="319" spans="1:17" x14ac:dyDescent="0.3">
      <c r="A319">
        <v>1318</v>
      </c>
      <c r="B319">
        <v>5</v>
      </c>
      <c r="C319">
        <v>9</v>
      </c>
      <c r="D319">
        <v>3</v>
      </c>
      <c r="E319">
        <v>6</v>
      </c>
      <c r="F319">
        <v>8</v>
      </c>
      <c r="G319">
        <v>8</v>
      </c>
      <c r="H319">
        <v>164</v>
      </c>
      <c r="I319">
        <v>0</v>
      </c>
      <c r="J319">
        <v>58</v>
      </c>
      <c r="K319">
        <f t="shared" si="28"/>
        <v>6.2</v>
      </c>
      <c r="L319">
        <f t="shared" si="29"/>
        <v>62</v>
      </c>
      <c r="M319">
        <f t="shared" si="30"/>
        <v>60</v>
      </c>
      <c r="N319">
        <f t="shared" si="31"/>
        <v>40</v>
      </c>
      <c r="O319">
        <f t="shared" si="32"/>
        <v>55</v>
      </c>
      <c r="P319" t="str">
        <f t="shared" si="33"/>
        <v>Needs Improvement</v>
      </c>
      <c r="Q319" t="str">
        <f t="shared" si="34"/>
        <v>Medium</v>
      </c>
    </row>
    <row r="320" spans="1:17" x14ac:dyDescent="0.3">
      <c r="A320">
        <v>1319</v>
      </c>
      <c r="B320">
        <v>5</v>
      </c>
      <c r="C320">
        <v>6</v>
      </c>
      <c r="D320">
        <v>3</v>
      </c>
      <c r="E320">
        <v>10</v>
      </c>
      <c r="F320">
        <v>10</v>
      </c>
      <c r="G320">
        <v>1</v>
      </c>
      <c r="H320">
        <v>179</v>
      </c>
      <c r="I320">
        <v>0</v>
      </c>
      <c r="J320">
        <v>86</v>
      </c>
      <c r="K320">
        <f t="shared" si="28"/>
        <v>6.8</v>
      </c>
      <c r="L320">
        <f t="shared" si="29"/>
        <v>68</v>
      </c>
      <c r="M320">
        <f t="shared" si="30"/>
        <v>60</v>
      </c>
      <c r="N320">
        <f t="shared" si="31"/>
        <v>5</v>
      </c>
      <c r="O320">
        <f t="shared" si="32"/>
        <v>47</v>
      </c>
      <c r="P320" t="str">
        <f t="shared" si="33"/>
        <v>Placement Ready</v>
      </c>
      <c r="Q320" t="str">
        <f t="shared" si="34"/>
        <v>Medium</v>
      </c>
    </row>
    <row r="321" spans="1:17" x14ac:dyDescent="0.3">
      <c r="A321">
        <v>1320</v>
      </c>
      <c r="B321">
        <v>4</v>
      </c>
      <c r="C321">
        <v>5</v>
      </c>
      <c r="D321">
        <v>2</v>
      </c>
      <c r="E321">
        <v>3</v>
      </c>
      <c r="F321">
        <v>9</v>
      </c>
      <c r="G321">
        <v>1</v>
      </c>
      <c r="H321">
        <v>356</v>
      </c>
      <c r="I321">
        <v>4</v>
      </c>
      <c r="J321">
        <v>91</v>
      </c>
      <c r="K321">
        <f t="shared" si="28"/>
        <v>4.5999999999999996</v>
      </c>
      <c r="L321">
        <f t="shared" si="29"/>
        <v>46</v>
      </c>
      <c r="M321">
        <f t="shared" si="30"/>
        <v>80</v>
      </c>
      <c r="N321">
        <f t="shared" si="31"/>
        <v>45</v>
      </c>
      <c r="O321">
        <f t="shared" si="32"/>
        <v>56</v>
      </c>
      <c r="P321" t="str">
        <f t="shared" si="33"/>
        <v>Placement Ready</v>
      </c>
      <c r="Q321" t="str">
        <f t="shared" si="34"/>
        <v>Medium</v>
      </c>
    </row>
    <row r="322" spans="1:17" x14ac:dyDescent="0.3">
      <c r="A322">
        <v>1321</v>
      </c>
      <c r="B322">
        <v>7</v>
      </c>
      <c r="C322">
        <v>2</v>
      </c>
      <c r="D322">
        <v>6</v>
      </c>
      <c r="E322">
        <v>6</v>
      </c>
      <c r="F322">
        <v>8</v>
      </c>
      <c r="G322">
        <v>3</v>
      </c>
      <c r="H322">
        <v>244</v>
      </c>
      <c r="I322">
        <v>0</v>
      </c>
      <c r="J322">
        <v>79</v>
      </c>
      <c r="K322">
        <f t="shared" si="28"/>
        <v>5.8</v>
      </c>
      <c r="L322">
        <f t="shared" si="29"/>
        <v>58</v>
      </c>
      <c r="M322">
        <f t="shared" si="30"/>
        <v>60</v>
      </c>
      <c r="N322">
        <f t="shared" si="31"/>
        <v>15</v>
      </c>
      <c r="O322">
        <f t="shared" si="32"/>
        <v>46</v>
      </c>
      <c r="P322" t="str">
        <f t="shared" si="33"/>
        <v>Placement Ready</v>
      </c>
      <c r="Q322" t="str">
        <f t="shared" si="34"/>
        <v>Medium</v>
      </c>
    </row>
    <row r="323" spans="1:17" x14ac:dyDescent="0.3">
      <c r="A323">
        <v>1322</v>
      </c>
      <c r="B323">
        <v>9</v>
      </c>
      <c r="C323">
        <v>6</v>
      </c>
      <c r="D323">
        <v>7</v>
      </c>
      <c r="E323">
        <v>6</v>
      </c>
      <c r="F323">
        <v>9</v>
      </c>
      <c r="G323">
        <v>1</v>
      </c>
      <c r="H323">
        <v>234</v>
      </c>
      <c r="I323">
        <v>3</v>
      </c>
      <c r="J323">
        <v>54</v>
      </c>
      <c r="K323">
        <f t="shared" ref="K323:K386" si="35">AVERAGE(B323:F323)</f>
        <v>7.4</v>
      </c>
      <c r="L323">
        <f t="shared" ref="L323:L386" si="36">K323*10</f>
        <v>74</v>
      </c>
      <c r="M323">
        <f t="shared" ref="M323:M386" si="37">IF(H323&gt;=400,100,IF(H323&gt;=250,80,IF(H323&gt;=150,60,40)))</f>
        <v>60</v>
      </c>
      <c r="N323">
        <f t="shared" ref="N323:N386" si="38">(G323*5)+(I323*10)</f>
        <v>35</v>
      </c>
      <c r="O323">
        <f t="shared" ref="O323:O386" si="39">ROUND((L323*0.4)+(M323*0.3)+(N323*0.3),0)</f>
        <v>58</v>
      </c>
      <c r="P323" t="str">
        <f t="shared" ref="P323:P386" si="40">IF(J323&gt;=75,"Placement Ready",IF(J323&gt;=50,"Needs Improvement","Not Ready"))</f>
        <v>Needs Improvement</v>
      </c>
      <c r="Q323" t="str">
        <f t="shared" ref="Q323:Q386" si="41">IF(O323&lt;40,"Low",IF(O323&lt;=70,"Medium","High"))</f>
        <v>Medium</v>
      </c>
    </row>
    <row r="324" spans="1:17" x14ac:dyDescent="0.3">
      <c r="A324">
        <v>1323</v>
      </c>
      <c r="B324">
        <v>8</v>
      </c>
      <c r="C324">
        <v>2</v>
      </c>
      <c r="D324">
        <v>8</v>
      </c>
      <c r="E324">
        <v>10</v>
      </c>
      <c r="F324">
        <v>7</v>
      </c>
      <c r="G324">
        <v>2</v>
      </c>
      <c r="H324">
        <v>236</v>
      </c>
      <c r="I324">
        <v>0</v>
      </c>
      <c r="J324">
        <v>68</v>
      </c>
      <c r="K324">
        <f t="shared" si="35"/>
        <v>7</v>
      </c>
      <c r="L324">
        <f t="shared" si="36"/>
        <v>70</v>
      </c>
      <c r="M324">
        <f t="shared" si="37"/>
        <v>60</v>
      </c>
      <c r="N324">
        <f t="shared" si="38"/>
        <v>10</v>
      </c>
      <c r="O324">
        <f t="shared" si="39"/>
        <v>49</v>
      </c>
      <c r="P324" t="str">
        <f t="shared" si="40"/>
        <v>Needs Improvement</v>
      </c>
      <c r="Q324" t="str">
        <f t="shared" si="41"/>
        <v>Medium</v>
      </c>
    </row>
    <row r="325" spans="1:17" x14ac:dyDescent="0.3">
      <c r="A325">
        <v>1324</v>
      </c>
      <c r="B325">
        <v>7</v>
      </c>
      <c r="C325">
        <v>3</v>
      </c>
      <c r="D325">
        <v>2</v>
      </c>
      <c r="E325">
        <v>4</v>
      </c>
      <c r="F325">
        <v>6</v>
      </c>
      <c r="G325">
        <v>5</v>
      </c>
      <c r="H325">
        <v>310</v>
      </c>
      <c r="I325">
        <v>1</v>
      </c>
      <c r="J325">
        <v>50</v>
      </c>
      <c r="K325">
        <f t="shared" si="35"/>
        <v>4.4000000000000004</v>
      </c>
      <c r="L325">
        <f t="shared" si="36"/>
        <v>44</v>
      </c>
      <c r="M325">
        <f t="shared" si="37"/>
        <v>80</v>
      </c>
      <c r="N325">
        <f t="shared" si="38"/>
        <v>35</v>
      </c>
      <c r="O325">
        <f t="shared" si="39"/>
        <v>52</v>
      </c>
      <c r="P325" t="str">
        <f t="shared" si="40"/>
        <v>Needs Improvement</v>
      </c>
      <c r="Q325" t="str">
        <f t="shared" si="41"/>
        <v>Medium</v>
      </c>
    </row>
    <row r="326" spans="1:17" x14ac:dyDescent="0.3">
      <c r="A326">
        <v>1325</v>
      </c>
      <c r="B326">
        <v>4</v>
      </c>
      <c r="C326">
        <v>8</v>
      </c>
      <c r="D326">
        <v>9</v>
      </c>
      <c r="E326">
        <v>10</v>
      </c>
      <c r="F326">
        <v>3</v>
      </c>
      <c r="G326">
        <v>0</v>
      </c>
      <c r="H326">
        <v>464</v>
      </c>
      <c r="I326">
        <v>1</v>
      </c>
      <c r="J326">
        <v>53</v>
      </c>
      <c r="K326">
        <f t="shared" si="35"/>
        <v>6.8</v>
      </c>
      <c r="L326">
        <f t="shared" si="36"/>
        <v>68</v>
      </c>
      <c r="M326">
        <f t="shared" si="37"/>
        <v>100</v>
      </c>
      <c r="N326">
        <f t="shared" si="38"/>
        <v>10</v>
      </c>
      <c r="O326">
        <f t="shared" si="39"/>
        <v>60</v>
      </c>
      <c r="P326" t="str">
        <f t="shared" si="40"/>
        <v>Needs Improvement</v>
      </c>
      <c r="Q326" t="str">
        <f t="shared" si="41"/>
        <v>Medium</v>
      </c>
    </row>
    <row r="327" spans="1:17" x14ac:dyDescent="0.3">
      <c r="A327">
        <v>1326</v>
      </c>
      <c r="B327">
        <v>8</v>
      </c>
      <c r="C327">
        <v>6</v>
      </c>
      <c r="D327">
        <v>9</v>
      </c>
      <c r="E327">
        <v>10</v>
      </c>
      <c r="F327">
        <v>3</v>
      </c>
      <c r="G327">
        <v>7</v>
      </c>
      <c r="H327">
        <v>412</v>
      </c>
      <c r="I327">
        <v>3</v>
      </c>
      <c r="J327">
        <v>76</v>
      </c>
      <c r="K327">
        <f t="shared" si="35"/>
        <v>7.2</v>
      </c>
      <c r="L327">
        <f t="shared" si="36"/>
        <v>72</v>
      </c>
      <c r="M327">
        <f t="shared" si="37"/>
        <v>100</v>
      </c>
      <c r="N327">
        <f t="shared" si="38"/>
        <v>65</v>
      </c>
      <c r="O327">
        <f t="shared" si="39"/>
        <v>78</v>
      </c>
      <c r="P327" t="str">
        <f t="shared" si="40"/>
        <v>Placement Ready</v>
      </c>
      <c r="Q327" t="str">
        <f t="shared" si="41"/>
        <v>High</v>
      </c>
    </row>
    <row r="328" spans="1:17" x14ac:dyDescent="0.3">
      <c r="A328">
        <v>1327</v>
      </c>
      <c r="B328">
        <v>7</v>
      </c>
      <c r="C328">
        <v>10</v>
      </c>
      <c r="D328">
        <v>1</v>
      </c>
      <c r="E328">
        <v>2</v>
      </c>
      <c r="F328">
        <v>9</v>
      </c>
      <c r="G328">
        <v>2</v>
      </c>
      <c r="H328">
        <v>368</v>
      </c>
      <c r="I328">
        <v>3</v>
      </c>
      <c r="J328">
        <v>94</v>
      </c>
      <c r="K328">
        <f t="shared" si="35"/>
        <v>5.8</v>
      </c>
      <c r="L328">
        <f t="shared" si="36"/>
        <v>58</v>
      </c>
      <c r="M328">
        <f t="shared" si="37"/>
        <v>80</v>
      </c>
      <c r="N328">
        <f t="shared" si="38"/>
        <v>40</v>
      </c>
      <c r="O328">
        <f t="shared" si="39"/>
        <v>59</v>
      </c>
      <c r="P328" t="str">
        <f t="shared" si="40"/>
        <v>Placement Ready</v>
      </c>
      <c r="Q328" t="str">
        <f t="shared" si="41"/>
        <v>Medium</v>
      </c>
    </row>
    <row r="329" spans="1:17" x14ac:dyDescent="0.3">
      <c r="A329">
        <v>1328</v>
      </c>
      <c r="B329">
        <v>9</v>
      </c>
      <c r="C329">
        <v>2</v>
      </c>
      <c r="D329">
        <v>5</v>
      </c>
      <c r="E329">
        <v>7</v>
      </c>
      <c r="F329">
        <v>8</v>
      </c>
      <c r="G329">
        <v>7</v>
      </c>
      <c r="H329">
        <v>152</v>
      </c>
      <c r="I329">
        <v>1</v>
      </c>
      <c r="J329">
        <v>64</v>
      </c>
      <c r="K329">
        <f t="shared" si="35"/>
        <v>6.2</v>
      </c>
      <c r="L329">
        <f t="shared" si="36"/>
        <v>62</v>
      </c>
      <c r="M329">
        <f t="shared" si="37"/>
        <v>60</v>
      </c>
      <c r="N329">
        <f t="shared" si="38"/>
        <v>45</v>
      </c>
      <c r="O329">
        <f t="shared" si="39"/>
        <v>56</v>
      </c>
      <c r="P329" t="str">
        <f t="shared" si="40"/>
        <v>Needs Improvement</v>
      </c>
      <c r="Q329" t="str">
        <f t="shared" si="41"/>
        <v>Medium</v>
      </c>
    </row>
    <row r="330" spans="1:17" x14ac:dyDescent="0.3">
      <c r="A330">
        <v>1329</v>
      </c>
      <c r="B330">
        <v>1</v>
      </c>
      <c r="C330">
        <v>2</v>
      </c>
      <c r="D330">
        <v>10</v>
      </c>
      <c r="E330">
        <v>6</v>
      </c>
      <c r="F330">
        <v>3</v>
      </c>
      <c r="G330">
        <v>6</v>
      </c>
      <c r="H330">
        <v>477</v>
      </c>
      <c r="I330">
        <v>3</v>
      </c>
      <c r="J330">
        <v>46</v>
      </c>
      <c r="K330">
        <f t="shared" si="35"/>
        <v>4.4000000000000004</v>
      </c>
      <c r="L330">
        <f t="shared" si="36"/>
        <v>44</v>
      </c>
      <c r="M330">
        <f t="shared" si="37"/>
        <v>100</v>
      </c>
      <c r="N330">
        <f t="shared" si="38"/>
        <v>60</v>
      </c>
      <c r="O330">
        <f t="shared" si="39"/>
        <v>66</v>
      </c>
      <c r="P330" t="str">
        <f t="shared" si="40"/>
        <v>Not Ready</v>
      </c>
      <c r="Q330" t="str">
        <f t="shared" si="41"/>
        <v>Medium</v>
      </c>
    </row>
    <row r="331" spans="1:17" x14ac:dyDescent="0.3">
      <c r="A331">
        <v>1330</v>
      </c>
      <c r="B331">
        <v>1</v>
      </c>
      <c r="C331">
        <v>4</v>
      </c>
      <c r="D331">
        <v>5</v>
      </c>
      <c r="E331">
        <v>7</v>
      </c>
      <c r="F331">
        <v>4</v>
      </c>
      <c r="G331">
        <v>6</v>
      </c>
      <c r="H331">
        <v>63</v>
      </c>
      <c r="I331">
        <v>4</v>
      </c>
      <c r="J331">
        <v>44</v>
      </c>
      <c r="K331">
        <f t="shared" si="35"/>
        <v>4.2</v>
      </c>
      <c r="L331">
        <f t="shared" si="36"/>
        <v>42</v>
      </c>
      <c r="M331">
        <f t="shared" si="37"/>
        <v>40</v>
      </c>
      <c r="N331">
        <f t="shared" si="38"/>
        <v>70</v>
      </c>
      <c r="O331">
        <f t="shared" si="39"/>
        <v>50</v>
      </c>
      <c r="P331" t="str">
        <f t="shared" si="40"/>
        <v>Not Ready</v>
      </c>
      <c r="Q331" t="str">
        <f t="shared" si="41"/>
        <v>Medium</v>
      </c>
    </row>
    <row r="332" spans="1:17" x14ac:dyDescent="0.3">
      <c r="A332">
        <v>1331</v>
      </c>
      <c r="B332">
        <v>2</v>
      </c>
      <c r="C332">
        <v>6</v>
      </c>
      <c r="D332">
        <v>10</v>
      </c>
      <c r="E332">
        <v>10</v>
      </c>
      <c r="F332">
        <v>9</v>
      </c>
      <c r="G332">
        <v>6</v>
      </c>
      <c r="H332">
        <v>463</v>
      </c>
      <c r="I332">
        <v>2</v>
      </c>
      <c r="J332">
        <v>85</v>
      </c>
      <c r="K332">
        <f t="shared" si="35"/>
        <v>7.4</v>
      </c>
      <c r="L332">
        <f t="shared" si="36"/>
        <v>74</v>
      </c>
      <c r="M332">
        <f t="shared" si="37"/>
        <v>100</v>
      </c>
      <c r="N332">
        <f t="shared" si="38"/>
        <v>50</v>
      </c>
      <c r="O332">
        <f t="shared" si="39"/>
        <v>75</v>
      </c>
      <c r="P332" t="str">
        <f t="shared" si="40"/>
        <v>Placement Ready</v>
      </c>
      <c r="Q332" t="str">
        <f t="shared" si="41"/>
        <v>High</v>
      </c>
    </row>
    <row r="333" spans="1:17" x14ac:dyDescent="0.3">
      <c r="A333">
        <v>1332</v>
      </c>
      <c r="B333">
        <v>10</v>
      </c>
      <c r="C333">
        <v>8</v>
      </c>
      <c r="D333">
        <v>5</v>
      </c>
      <c r="E333">
        <v>4</v>
      </c>
      <c r="F333">
        <v>1</v>
      </c>
      <c r="G333">
        <v>8</v>
      </c>
      <c r="H333">
        <v>430</v>
      </c>
      <c r="I333">
        <v>0</v>
      </c>
      <c r="J333">
        <v>57</v>
      </c>
      <c r="K333">
        <f t="shared" si="35"/>
        <v>5.6</v>
      </c>
      <c r="L333">
        <f t="shared" si="36"/>
        <v>56</v>
      </c>
      <c r="M333">
        <f t="shared" si="37"/>
        <v>100</v>
      </c>
      <c r="N333">
        <f t="shared" si="38"/>
        <v>40</v>
      </c>
      <c r="O333">
        <f t="shared" si="39"/>
        <v>64</v>
      </c>
      <c r="P333" t="str">
        <f t="shared" si="40"/>
        <v>Needs Improvement</v>
      </c>
      <c r="Q333" t="str">
        <f t="shared" si="41"/>
        <v>Medium</v>
      </c>
    </row>
    <row r="334" spans="1:17" x14ac:dyDescent="0.3">
      <c r="A334">
        <v>1333</v>
      </c>
      <c r="B334">
        <v>3</v>
      </c>
      <c r="C334">
        <v>6</v>
      </c>
      <c r="D334">
        <v>10</v>
      </c>
      <c r="E334">
        <v>9</v>
      </c>
      <c r="F334">
        <v>4</v>
      </c>
      <c r="G334">
        <v>7</v>
      </c>
      <c r="H334">
        <v>68</v>
      </c>
      <c r="I334">
        <v>5</v>
      </c>
      <c r="J334">
        <v>55</v>
      </c>
      <c r="K334">
        <f t="shared" si="35"/>
        <v>6.4</v>
      </c>
      <c r="L334">
        <f t="shared" si="36"/>
        <v>64</v>
      </c>
      <c r="M334">
        <f t="shared" si="37"/>
        <v>40</v>
      </c>
      <c r="N334">
        <f t="shared" si="38"/>
        <v>85</v>
      </c>
      <c r="O334">
        <f t="shared" si="39"/>
        <v>63</v>
      </c>
      <c r="P334" t="str">
        <f t="shared" si="40"/>
        <v>Needs Improvement</v>
      </c>
      <c r="Q334" t="str">
        <f t="shared" si="41"/>
        <v>Medium</v>
      </c>
    </row>
    <row r="335" spans="1:17" x14ac:dyDescent="0.3">
      <c r="A335">
        <v>1334</v>
      </c>
      <c r="B335">
        <v>10</v>
      </c>
      <c r="C335">
        <v>5</v>
      </c>
      <c r="D335">
        <v>1</v>
      </c>
      <c r="E335">
        <v>4</v>
      </c>
      <c r="F335">
        <v>7</v>
      </c>
      <c r="G335">
        <v>6</v>
      </c>
      <c r="H335">
        <v>426</v>
      </c>
      <c r="I335">
        <v>4</v>
      </c>
      <c r="J335">
        <v>42</v>
      </c>
      <c r="K335">
        <f t="shared" si="35"/>
        <v>5.4</v>
      </c>
      <c r="L335">
        <f t="shared" si="36"/>
        <v>54</v>
      </c>
      <c r="M335">
        <f t="shared" si="37"/>
        <v>100</v>
      </c>
      <c r="N335">
        <f t="shared" si="38"/>
        <v>70</v>
      </c>
      <c r="O335">
        <f t="shared" si="39"/>
        <v>73</v>
      </c>
      <c r="P335" t="str">
        <f t="shared" si="40"/>
        <v>Not Ready</v>
      </c>
      <c r="Q335" t="str">
        <f t="shared" si="41"/>
        <v>High</v>
      </c>
    </row>
    <row r="336" spans="1:17" x14ac:dyDescent="0.3">
      <c r="A336">
        <v>1335</v>
      </c>
      <c r="B336">
        <v>4</v>
      </c>
      <c r="C336">
        <v>6</v>
      </c>
      <c r="D336">
        <v>7</v>
      </c>
      <c r="E336">
        <v>6</v>
      </c>
      <c r="F336">
        <v>9</v>
      </c>
      <c r="G336">
        <v>0</v>
      </c>
      <c r="H336">
        <v>445</v>
      </c>
      <c r="I336">
        <v>1</v>
      </c>
      <c r="J336">
        <v>73</v>
      </c>
      <c r="K336">
        <f t="shared" si="35"/>
        <v>6.4</v>
      </c>
      <c r="L336">
        <f t="shared" si="36"/>
        <v>64</v>
      </c>
      <c r="M336">
        <f t="shared" si="37"/>
        <v>100</v>
      </c>
      <c r="N336">
        <f t="shared" si="38"/>
        <v>10</v>
      </c>
      <c r="O336">
        <f t="shared" si="39"/>
        <v>59</v>
      </c>
      <c r="P336" t="str">
        <f t="shared" si="40"/>
        <v>Needs Improvement</v>
      </c>
      <c r="Q336" t="str">
        <f t="shared" si="41"/>
        <v>Medium</v>
      </c>
    </row>
    <row r="337" spans="1:17" x14ac:dyDescent="0.3">
      <c r="A337">
        <v>1336</v>
      </c>
      <c r="B337">
        <v>4</v>
      </c>
      <c r="C337">
        <v>1</v>
      </c>
      <c r="D337">
        <v>6</v>
      </c>
      <c r="E337">
        <v>1</v>
      </c>
      <c r="F337">
        <v>10</v>
      </c>
      <c r="G337">
        <v>2</v>
      </c>
      <c r="H337">
        <v>134</v>
      </c>
      <c r="I337">
        <v>3</v>
      </c>
      <c r="J337">
        <v>85</v>
      </c>
      <c r="K337">
        <f t="shared" si="35"/>
        <v>4.4000000000000004</v>
      </c>
      <c r="L337">
        <f t="shared" si="36"/>
        <v>44</v>
      </c>
      <c r="M337">
        <f t="shared" si="37"/>
        <v>40</v>
      </c>
      <c r="N337">
        <f t="shared" si="38"/>
        <v>40</v>
      </c>
      <c r="O337">
        <f t="shared" si="39"/>
        <v>42</v>
      </c>
      <c r="P337" t="str">
        <f t="shared" si="40"/>
        <v>Placement Ready</v>
      </c>
      <c r="Q337" t="str">
        <f t="shared" si="41"/>
        <v>Medium</v>
      </c>
    </row>
    <row r="338" spans="1:17" x14ac:dyDescent="0.3">
      <c r="A338">
        <v>1337</v>
      </c>
      <c r="B338">
        <v>5</v>
      </c>
      <c r="C338">
        <v>2</v>
      </c>
      <c r="D338">
        <v>9</v>
      </c>
      <c r="E338">
        <v>2</v>
      </c>
      <c r="F338">
        <v>4</v>
      </c>
      <c r="G338">
        <v>6</v>
      </c>
      <c r="H338">
        <v>422</v>
      </c>
      <c r="I338">
        <v>3</v>
      </c>
      <c r="J338">
        <v>70</v>
      </c>
      <c r="K338">
        <f t="shared" si="35"/>
        <v>4.4000000000000004</v>
      </c>
      <c r="L338">
        <f t="shared" si="36"/>
        <v>44</v>
      </c>
      <c r="M338">
        <f t="shared" si="37"/>
        <v>100</v>
      </c>
      <c r="N338">
        <f t="shared" si="38"/>
        <v>60</v>
      </c>
      <c r="O338">
        <f t="shared" si="39"/>
        <v>66</v>
      </c>
      <c r="P338" t="str">
        <f t="shared" si="40"/>
        <v>Needs Improvement</v>
      </c>
      <c r="Q338" t="str">
        <f t="shared" si="41"/>
        <v>Medium</v>
      </c>
    </row>
    <row r="339" spans="1:17" x14ac:dyDescent="0.3">
      <c r="A339">
        <v>1338</v>
      </c>
      <c r="B339">
        <v>7</v>
      </c>
      <c r="C339">
        <v>5</v>
      </c>
      <c r="D339">
        <v>4</v>
      </c>
      <c r="E339">
        <v>1</v>
      </c>
      <c r="F339">
        <v>5</v>
      </c>
      <c r="G339">
        <v>5</v>
      </c>
      <c r="H339">
        <v>237</v>
      </c>
      <c r="I339">
        <v>1</v>
      </c>
      <c r="J339">
        <v>43</v>
      </c>
      <c r="K339">
        <f t="shared" si="35"/>
        <v>4.4000000000000004</v>
      </c>
      <c r="L339">
        <f t="shared" si="36"/>
        <v>44</v>
      </c>
      <c r="M339">
        <f t="shared" si="37"/>
        <v>60</v>
      </c>
      <c r="N339">
        <f t="shared" si="38"/>
        <v>35</v>
      </c>
      <c r="O339">
        <f t="shared" si="39"/>
        <v>46</v>
      </c>
      <c r="P339" t="str">
        <f t="shared" si="40"/>
        <v>Not Ready</v>
      </c>
      <c r="Q339" t="str">
        <f t="shared" si="41"/>
        <v>Medium</v>
      </c>
    </row>
    <row r="340" spans="1:17" x14ac:dyDescent="0.3">
      <c r="A340">
        <v>1339</v>
      </c>
      <c r="B340">
        <v>9</v>
      </c>
      <c r="C340">
        <v>3</v>
      </c>
      <c r="D340">
        <v>7</v>
      </c>
      <c r="E340">
        <v>4</v>
      </c>
      <c r="F340">
        <v>7</v>
      </c>
      <c r="G340">
        <v>8</v>
      </c>
      <c r="H340">
        <v>447</v>
      </c>
      <c r="I340">
        <v>4</v>
      </c>
      <c r="J340">
        <v>77</v>
      </c>
      <c r="K340">
        <f t="shared" si="35"/>
        <v>6</v>
      </c>
      <c r="L340">
        <f t="shared" si="36"/>
        <v>60</v>
      </c>
      <c r="M340">
        <f t="shared" si="37"/>
        <v>100</v>
      </c>
      <c r="N340">
        <f t="shared" si="38"/>
        <v>80</v>
      </c>
      <c r="O340">
        <f t="shared" si="39"/>
        <v>78</v>
      </c>
      <c r="P340" t="str">
        <f t="shared" si="40"/>
        <v>Placement Ready</v>
      </c>
      <c r="Q340" t="str">
        <f t="shared" si="41"/>
        <v>High</v>
      </c>
    </row>
    <row r="341" spans="1:17" x14ac:dyDescent="0.3">
      <c r="A341">
        <v>1340</v>
      </c>
      <c r="B341">
        <v>9</v>
      </c>
      <c r="C341">
        <v>1</v>
      </c>
      <c r="D341">
        <v>10</v>
      </c>
      <c r="E341">
        <v>3</v>
      </c>
      <c r="F341">
        <v>2</v>
      </c>
      <c r="G341">
        <v>3</v>
      </c>
      <c r="H341">
        <v>272</v>
      </c>
      <c r="I341">
        <v>4</v>
      </c>
      <c r="J341">
        <v>58</v>
      </c>
      <c r="K341">
        <f t="shared" si="35"/>
        <v>5</v>
      </c>
      <c r="L341">
        <f t="shared" si="36"/>
        <v>50</v>
      </c>
      <c r="M341">
        <f t="shared" si="37"/>
        <v>80</v>
      </c>
      <c r="N341">
        <f t="shared" si="38"/>
        <v>55</v>
      </c>
      <c r="O341">
        <f t="shared" si="39"/>
        <v>61</v>
      </c>
      <c r="P341" t="str">
        <f t="shared" si="40"/>
        <v>Needs Improvement</v>
      </c>
      <c r="Q341" t="str">
        <f t="shared" si="41"/>
        <v>Medium</v>
      </c>
    </row>
    <row r="342" spans="1:17" x14ac:dyDescent="0.3">
      <c r="A342">
        <v>1341</v>
      </c>
      <c r="B342">
        <v>8</v>
      </c>
      <c r="C342">
        <v>8</v>
      </c>
      <c r="D342">
        <v>8</v>
      </c>
      <c r="E342">
        <v>5</v>
      </c>
      <c r="F342">
        <v>5</v>
      </c>
      <c r="G342">
        <v>3</v>
      </c>
      <c r="H342">
        <v>352</v>
      </c>
      <c r="I342">
        <v>0</v>
      </c>
      <c r="J342">
        <v>44</v>
      </c>
      <c r="K342">
        <f t="shared" si="35"/>
        <v>6.8</v>
      </c>
      <c r="L342">
        <f t="shared" si="36"/>
        <v>68</v>
      </c>
      <c r="M342">
        <f t="shared" si="37"/>
        <v>80</v>
      </c>
      <c r="N342">
        <f t="shared" si="38"/>
        <v>15</v>
      </c>
      <c r="O342">
        <f t="shared" si="39"/>
        <v>56</v>
      </c>
      <c r="P342" t="str">
        <f t="shared" si="40"/>
        <v>Not Ready</v>
      </c>
      <c r="Q342" t="str">
        <f t="shared" si="41"/>
        <v>Medium</v>
      </c>
    </row>
    <row r="343" spans="1:17" x14ac:dyDescent="0.3">
      <c r="A343">
        <v>1342</v>
      </c>
      <c r="B343">
        <v>2</v>
      </c>
      <c r="C343">
        <v>6</v>
      </c>
      <c r="D343">
        <v>9</v>
      </c>
      <c r="E343">
        <v>4</v>
      </c>
      <c r="F343">
        <v>10</v>
      </c>
      <c r="G343">
        <v>4</v>
      </c>
      <c r="H343">
        <v>409</v>
      </c>
      <c r="I343">
        <v>3</v>
      </c>
      <c r="J343">
        <v>82</v>
      </c>
      <c r="K343">
        <f t="shared" si="35"/>
        <v>6.2</v>
      </c>
      <c r="L343">
        <f t="shared" si="36"/>
        <v>62</v>
      </c>
      <c r="M343">
        <f t="shared" si="37"/>
        <v>100</v>
      </c>
      <c r="N343">
        <f t="shared" si="38"/>
        <v>50</v>
      </c>
      <c r="O343">
        <f t="shared" si="39"/>
        <v>70</v>
      </c>
      <c r="P343" t="str">
        <f t="shared" si="40"/>
        <v>Placement Ready</v>
      </c>
      <c r="Q343" t="str">
        <f t="shared" si="41"/>
        <v>Medium</v>
      </c>
    </row>
    <row r="344" spans="1:17" x14ac:dyDescent="0.3">
      <c r="A344">
        <v>1343</v>
      </c>
      <c r="B344">
        <v>1</v>
      </c>
      <c r="C344">
        <v>8</v>
      </c>
      <c r="D344">
        <v>6</v>
      </c>
      <c r="E344">
        <v>3</v>
      </c>
      <c r="F344">
        <v>7</v>
      </c>
      <c r="G344">
        <v>7</v>
      </c>
      <c r="H344">
        <v>281</v>
      </c>
      <c r="I344">
        <v>4</v>
      </c>
      <c r="J344">
        <v>66</v>
      </c>
      <c r="K344">
        <f t="shared" si="35"/>
        <v>5</v>
      </c>
      <c r="L344">
        <f t="shared" si="36"/>
        <v>50</v>
      </c>
      <c r="M344">
        <f t="shared" si="37"/>
        <v>80</v>
      </c>
      <c r="N344">
        <f t="shared" si="38"/>
        <v>75</v>
      </c>
      <c r="O344">
        <f t="shared" si="39"/>
        <v>67</v>
      </c>
      <c r="P344" t="str">
        <f t="shared" si="40"/>
        <v>Needs Improvement</v>
      </c>
      <c r="Q344" t="str">
        <f t="shared" si="41"/>
        <v>Medium</v>
      </c>
    </row>
    <row r="345" spans="1:17" x14ac:dyDescent="0.3">
      <c r="A345">
        <v>1344</v>
      </c>
      <c r="B345">
        <v>3</v>
      </c>
      <c r="C345">
        <v>2</v>
      </c>
      <c r="D345">
        <v>5</v>
      </c>
      <c r="E345">
        <v>6</v>
      </c>
      <c r="F345">
        <v>6</v>
      </c>
      <c r="G345">
        <v>4</v>
      </c>
      <c r="H345">
        <v>177</v>
      </c>
      <c r="I345">
        <v>1</v>
      </c>
      <c r="J345">
        <v>79</v>
      </c>
      <c r="K345">
        <f t="shared" si="35"/>
        <v>4.4000000000000004</v>
      </c>
      <c r="L345">
        <f t="shared" si="36"/>
        <v>44</v>
      </c>
      <c r="M345">
        <f t="shared" si="37"/>
        <v>60</v>
      </c>
      <c r="N345">
        <f t="shared" si="38"/>
        <v>30</v>
      </c>
      <c r="O345">
        <f t="shared" si="39"/>
        <v>45</v>
      </c>
      <c r="P345" t="str">
        <f t="shared" si="40"/>
        <v>Placement Ready</v>
      </c>
      <c r="Q345" t="str">
        <f t="shared" si="41"/>
        <v>Medium</v>
      </c>
    </row>
    <row r="346" spans="1:17" x14ac:dyDescent="0.3">
      <c r="A346">
        <v>1345</v>
      </c>
      <c r="B346">
        <v>7</v>
      </c>
      <c r="C346">
        <v>9</v>
      </c>
      <c r="D346">
        <v>7</v>
      </c>
      <c r="E346">
        <v>10</v>
      </c>
      <c r="F346">
        <v>5</v>
      </c>
      <c r="G346">
        <v>6</v>
      </c>
      <c r="H346">
        <v>315</v>
      </c>
      <c r="I346">
        <v>2</v>
      </c>
      <c r="J346">
        <v>53</v>
      </c>
      <c r="K346">
        <f t="shared" si="35"/>
        <v>7.6</v>
      </c>
      <c r="L346">
        <f t="shared" si="36"/>
        <v>76</v>
      </c>
      <c r="M346">
        <f t="shared" si="37"/>
        <v>80</v>
      </c>
      <c r="N346">
        <f t="shared" si="38"/>
        <v>50</v>
      </c>
      <c r="O346">
        <f t="shared" si="39"/>
        <v>69</v>
      </c>
      <c r="P346" t="str">
        <f t="shared" si="40"/>
        <v>Needs Improvement</v>
      </c>
      <c r="Q346" t="str">
        <f t="shared" si="41"/>
        <v>Medium</v>
      </c>
    </row>
    <row r="347" spans="1:17" x14ac:dyDescent="0.3">
      <c r="A347">
        <v>1346</v>
      </c>
      <c r="B347">
        <v>5</v>
      </c>
      <c r="C347">
        <v>4</v>
      </c>
      <c r="D347">
        <v>10</v>
      </c>
      <c r="E347">
        <v>5</v>
      </c>
      <c r="F347">
        <v>4</v>
      </c>
      <c r="G347">
        <v>4</v>
      </c>
      <c r="H347">
        <v>89</v>
      </c>
      <c r="I347">
        <v>2</v>
      </c>
      <c r="J347">
        <v>90</v>
      </c>
      <c r="K347">
        <f t="shared" si="35"/>
        <v>5.6</v>
      </c>
      <c r="L347">
        <f t="shared" si="36"/>
        <v>56</v>
      </c>
      <c r="M347">
        <f t="shared" si="37"/>
        <v>40</v>
      </c>
      <c r="N347">
        <f t="shared" si="38"/>
        <v>40</v>
      </c>
      <c r="O347">
        <f t="shared" si="39"/>
        <v>46</v>
      </c>
      <c r="P347" t="str">
        <f t="shared" si="40"/>
        <v>Placement Ready</v>
      </c>
      <c r="Q347" t="str">
        <f t="shared" si="41"/>
        <v>Medium</v>
      </c>
    </row>
    <row r="348" spans="1:17" x14ac:dyDescent="0.3">
      <c r="A348">
        <v>1347</v>
      </c>
      <c r="B348">
        <v>8</v>
      </c>
      <c r="C348">
        <v>3</v>
      </c>
      <c r="D348">
        <v>8</v>
      </c>
      <c r="E348">
        <v>2</v>
      </c>
      <c r="F348">
        <v>10</v>
      </c>
      <c r="G348">
        <v>8</v>
      </c>
      <c r="H348">
        <v>208</v>
      </c>
      <c r="I348">
        <v>5</v>
      </c>
      <c r="J348">
        <v>58</v>
      </c>
      <c r="K348">
        <f t="shared" si="35"/>
        <v>6.2</v>
      </c>
      <c r="L348">
        <f t="shared" si="36"/>
        <v>62</v>
      </c>
      <c r="M348">
        <f t="shared" si="37"/>
        <v>60</v>
      </c>
      <c r="N348">
        <f t="shared" si="38"/>
        <v>90</v>
      </c>
      <c r="O348">
        <f t="shared" si="39"/>
        <v>70</v>
      </c>
      <c r="P348" t="str">
        <f t="shared" si="40"/>
        <v>Needs Improvement</v>
      </c>
      <c r="Q348" t="str">
        <f t="shared" si="41"/>
        <v>Medium</v>
      </c>
    </row>
    <row r="349" spans="1:17" x14ac:dyDescent="0.3">
      <c r="A349">
        <v>1348</v>
      </c>
      <c r="B349">
        <v>3</v>
      </c>
      <c r="C349">
        <v>2</v>
      </c>
      <c r="D349">
        <v>8</v>
      </c>
      <c r="E349">
        <v>5</v>
      </c>
      <c r="F349">
        <v>10</v>
      </c>
      <c r="G349">
        <v>3</v>
      </c>
      <c r="H349">
        <v>451</v>
      </c>
      <c r="I349">
        <v>1</v>
      </c>
      <c r="J349">
        <v>51</v>
      </c>
      <c r="K349">
        <f t="shared" si="35"/>
        <v>5.6</v>
      </c>
      <c r="L349">
        <f t="shared" si="36"/>
        <v>56</v>
      </c>
      <c r="M349">
        <f t="shared" si="37"/>
        <v>100</v>
      </c>
      <c r="N349">
        <f t="shared" si="38"/>
        <v>25</v>
      </c>
      <c r="O349">
        <f t="shared" si="39"/>
        <v>60</v>
      </c>
      <c r="P349" t="str">
        <f t="shared" si="40"/>
        <v>Needs Improvement</v>
      </c>
      <c r="Q349" t="str">
        <f t="shared" si="41"/>
        <v>Medium</v>
      </c>
    </row>
    <row r="350" spans="1:17" x14ac:dyDescent="0.3">
      <c r="A350">
        <v>1349</v>
      </c>
      <c r="B350">
        <v>1</v>
      </c>
      <c r="C350">
        <v>6</v>
      </c>
      <c r="D350">
        <v>1</v>
      </c>
      <c r="E350">
        <v>7</v>
      </c>
      <c r="F350">
        <v>5</v>
      </c>
      <c r="G350">
        <v>1</v>
      </c>
      <c r="H350">
        <v>176</v>
      </c>
      <c r="I350">
        <v>0</v>
      </c>
      <c r="J350">
        <v>73</v>
      </c>
      <c r="K350">
        <f t="shared" si="35"/>
        <v>4</v>
      </c>
      <c r="L350">
        <f t="shared" si="36"/>
        <v>40</v>
      </c>
      <c r="M350">
        <f t="shared" si="37"/>
        <v>60</v>
      </c>
      <c r="N350">
        <f t="shared" si="38"/>
        <v>5</v>
      </c>
      <c r="O350">
        <f t="shared" si="39"/>
        <v>36</v>
      </c>
      <c r="P350" t="str">
        <f t="shared" si="40"/>
        <v>Needs Improvement</v>
      </c>
      <c r="Q350" t="str">
        <f t="shared" si="41"/>
        <v>Low</v>
      </c>
    </row>
    <row r="351" spans="1:17" x14ac:dyDescent="0.3">
      <c r="A351">
        <v>1350</v>
      </c>
      <c r="B351">
        <v>1</v>
      </c>
      <c r="C351">
        <v>7</v>
      </c>
      <c r="D351">
        <v>10</v>
      </c>
      <c r="E351">
        <v>6</v>
      </c>
      <c r="F351">
        <v>6</v>
      </c>
      <c r="G351">
        <v>5</v>
      </c>
      <c r="H351">
        <v>495</v>
      </c>
      <c r="I351">
        <v>0</v>
      </c>
      <c r="J351">
        <v>53</v>
      </c>
      <c r="K351">
        <f t="shared" si="35"/>
        <v>6</v>
      </c>
      <c r="L351">
        <f t="shared" si="36"/>
        <v>60</v>
      </c>
      <c r="M351">
        <f t="shared" si="37"/>
        <v>100</v>
      </c>
      <c r="N351">
        <f t="shared" si="38"/>
        <v>25</v>
      </c>
      <c r="O351">
        <f t="shared" si="39"/>
        <v>62</v>
      </c>
      <c r="P351" t="str">
        <f t="shared" si="40"/>
        <v>Needs Improvement</v>
      </c>
      <c r="Q351" t="str">
        <f t="shared" si="41"/>
        <v>Medium</v>
      </c>
    </row>
    <row r="352" spans="1:17" x14ac:dyDescent="0.3">
      <c r="A352">
        <v>1351</v>
      </c>
      <c r="B352">
        <v>7</v>
      </c>
      <c r="C352">
        <v>2</v>
      </c>
      <c r="D352">
        <v>10</v>
      </c>
      <c r="E352">
        <v>7</v>
      </c>
      <c r="F352">
        <v>3</v>
      </c>
      <c r="G352">
        <v>0</v>
      </c>
      <c r="H352">
        <v>129</v>
      </c>
      <c r="I352">
        <v>5</v>
      </c>
      <c r="J352">
        <v>65</v>
      </c>
      <c r="K352">
        <f t="shared" si="35"/>
        <v>5.8</v>
      </c>
      <c r="L352">
        <f t="shared" si="36"/>
        <v>58</v>
      </c>
      <c r="M352">
        <f t="shared" si="37"/>
        <v>40</v>
      </c>
      <c r="N352">
        <f t="shared" si="38"/>
        <v>50</v>
      </c>
      <c r="O352">
        <f t="shared" si="39"/>
        <v>50</v>
      </c>
      <c r="P352" t="str">
        <f t="shared" si="40"/>
        <v>Needs Improvement</v>
      </c>
      <c r="Q352" t="str">
        <f t="shared" si="41"/>
        <v>Medium</v>
      </c>
    </row>
    <row r="353" spans="1:17" x14ac:dyDescent="0.3">
      <c r="A353">
        <v>1352</v>
      </c>
      <c r="B353">
        <v>5</v>
      </c>
      <c r="C353">
        <v>7</v>
      </c>
      <c r="D353">
        <v>9</v>
      </c>
      <c r="E353">
        <v>6</v>
      </c>
      <c r="F353">
        <v>8</v>
      </c>
      <c r="G353">
        <v>6</v>
      </c>
      <c r="H353">
        <v>431</v>
      </c>
      <c r="I353">
        <v>4</v>
      </c>
      <c r="J353">
        <v>47</v>
      </c>
      <c r="K353">
        <f t="shared" si="35"/>
        <v>7</v>
      </c>
      <c r="L353">
        <f t="shared" si="36"/>
        <v>70</v>
      </c>
      <c r="M353">
        <f t="shared" si="37"/>
        <v>100</v>
      </c>
      <c r="N353">
        <f t="shared" si="38"/>
        <v>70</v>
      </c>
      <c r="O353">
        <f t="shared" si="39"/>
        <v>79</v>
      </c>
      <c r="P353" t="str">
        <f t="shared" si="40"/>
        <v>Not Ready</v>
      </c>
      <c r="Q353" t="str">
        <f t="shared" si="41"/>
        <v>High</v>
      </c>
    </row>
    <row r="354" spans="1:17" x14ac:dyDescent="0.3">
      <c r="A354">
        <v>1353</v>
      </c>
      <c r="B354">
        <v>9</v>
      </c>
      <c r="C354">
        <v>5</v>
      </c>
      <c r="D354">
        <v>4</v>
      </c>
      <c r="E354">
        <v>2</v>
      </c>
      <c r="F354">
        <v>1</v>
      </c>
      <c r="G354">
        <v>4</v>
      </c>
      <c r="H354">
        <v>365</v>
      </c>
      <c r="I354">
        <v>0</v>
      </c>
      <c r="J354">
        <v>51</v>
      </c>
      <c r="K354">
        <f t="shared" si="35"/>
        <v>4.2</v>
      </c>
      <c r="L354">
        <f t="shared" si="36"/>
        <v>42</v>
      </c>
      <c r="M354">
        <f t="shared" si="37"/>
        <v>80</v>
      </c>
      <c r="N354">
        <f t="shared" si="38"/>
        <v>20</v>
      </c>
      <c r="O354">
        <f t="shared" si="39"/>
        <v>47</v>
      </c>
      <c r="P354" t="str">
        <f t="shared" si="40"/>
        <v>Needs Improvement</v>
      </c>
      <c r="Q354" t="str">
        <f t="shared" si="41"/>
        <v>Medium</v>
      </c>
    </row>
    <row r="355" spans="1:17" x14ac:dyDescent="0.3">
      <c r="A355">
        <v>1354</v>
      </c>
      <c r="B355">
        <v>7</v>
      </c>
      <c r="C355">
        <v>9</v>
      </c>
      <c r="D355">
        <v>8</v>
      </c>
      <c r="E355">
        <v>1</v>
      </c>
      <c r="F355">
        <v>6</v>
      </c>
      <c r="G355">
        <v>2</v>
      </c>
      <c r="H355">
        <v>95</v>
      </c>
      <c r="I355">
        <v>4</v>
      </c>
      <c r="J355">
        <v>40</v>
      </c>
      <c r="K355">
        <f t="shared" si="35"/>
        <v>6.2</v>
      </c>
      <c r="L355">
        <f t="shared" si="36"/>
        <v>62</v>
      </c>
      <c r="M355">
        <f t="shared" si="37"/>
        <v>40</v>
      </c>
      <c r="N355">
        <f t="shared" si="38"/>
        <v>50</v>
      </c>
      <c r="O355">
        <f t="shared" si="39"/>
        <v>52</v>
      </c>
      <c r="P355" t="str">
        <f t="shared" si="40"/>
        <v>Not Ready</v>
      </c>
      <c r="Q355" t="str">
        <f t="shared" si="41"/>
        <v>Medium</v>
      </c>
    </row>
    <row r="356" spans="1:17" x14ac:dyDescent="0.3">
      <c r="A356">
        <v>1355</v>
      </c>
      <c r="B356">
        <v>4</v>
      </c>
      <c r="C356">
        <v>5</v>
      </c>
      <c r="D356">
        <v>7</v>
      </c>
      <c r="E356">
        <v>8</v>
      </c>
      <c r="F356">
        <v>1</v>
      </c>
      <c r="G356">
        <v>5</v>
      </c>
      <c r="H356">
        <v>79</v>
      </c>
      <c r="I356">
        <v>2</v>
      </c>
      <c r="J356">
        <v>52</v>
      </c>
      <c r="K356">
        <f t="shared" si="35"/>
        <v>5</v>
      </c>
      <c r="L356">
        <f t="shared" si="36"/>
        <v>50</v>
      </c>
      <c r="M356">
        <f t="shared" si="37"/>
        <v>40</v>
      </c>
      <c r="N356">
        <f t="shared" si="38"/>
        <v>45</v>
      </c>
      <c r="O356">
        <f t="shared" si="39"/>
        <v>46</v>
      </c>
      <c r="P356" t="str">
        <f t="shared" si="40"/>
        <v>Needs Improvement</v>
      </c>
      <c r="Q356" t="str">
        <f t="shared" si="41"/>
        <v>Medium</v>
      </c>
    </row>
    <row r="357" spans="1:17" x14ac:dyDescent="0.3">
      <c r="A357">
        <v>1356</v>
      </c>
      <c r="B357">
        <v>7</v>
      </c>
      <c r="C357">
        <v>10</v>
      </c>
      <c r="D357">
        <v>1</v>
      </c>
      <c r="E357">
        <v>7</v>
      </c>
      <c r="F357">
        <v>9</v>
      </c>
      <c r="G357">
        <v>6</v>
      </c>
      <c r="H357">
        <v>164</v>
      </c>
      <c r="I357">
        <v>5</v>
      </c>
      <c r="J357">
        <v>92</v>
      </c>
      <c r="K357">
        <f t="shared" si="35"/>
        <v>6.8</v>
      </c>
      <c r="L357">
        <f t="shared" si="36"/>
        <v>68</v>
      </c>
      <c r="M357">
        <f t="shared" si="37"/>
        <v>60</v>
      </c>
      <c r="N357">
        <f t="shared" si="38"/>
        <v>80</v>
      </c>
      <c r="O357">
        <f t="shared" si="39"/>
        <v>69</v>
      </c>
      <c r="P357" t="str">
        <f t="shared" si="40"/>
        <v>Placement Ready</v>
      </c>
      <c r="Q357" t="str">
        <f t="shared" si="41"/>
        <v>Medium</v>
      </c>
    </row>
    <row r="358" spans="1:17" x14ac:dyDescent="0.3">
      <c r="A358">
        <v>1357</v>
      </c>
      <c r="B358">
        <v>4</v>
      </c>
      <c r="C358">
        <v>2</v>
      </c>
      <c r="D358">
        <v>8</v>
      </c>
      <c r="E358">
        <v>1</v>
      </c>
      <c r="F358">
        <v>10</v>
      </c>
      <c r="G358">
        <v>2</v>
      </c>
      <c r="H358">
        <v>229</v>
      </c>
      <c r="I358">
        <v>5</v>
      </c>
      <c r="J358">
        <v>59</v>
      </c>
      <c r="K358">
        <f t="shared" si="35"/>
        <v>5</v>
      </c>
      <c r="L358">
        <f t="shared" si="36"/>
        <v>50</v>
      </c>
      <c r="M358">
        <f t="shared" si="37"/>
        <v>60</v>
      </c>
      <c r="N358">
        <f t="shared" si="38"/>
        <v>60</v>
      </c>
      <c r="O358">
        <f t="shared" si="39"/>
        <v>56</v>
      </c>
      <c r="P358" t="str">
        <f t="shared" si="40"/>
        <v>Needs Improvement</v>
      </c>
      <c r="Q358" t="str">
        <f t="shared" si="41"/>
        <v>Medium</v>
      </c>
    </row>
    <row r="359" spans="1:17" x14ac:dyDescent="0.3">
      <c r="A359">
        <v>1358</v>
      </c>
      <c r="B359">
        <v>9</v>
      </c>
      <c r="C359">
        <v>2</v>
      </c>
      <c r="D359">
        <v>4</v>
      </c>
      <c r="E359">
        <v>6</v>
      </c>
      <c r="F359">
        <v>2</v>
      </c>
      <c r="G359">
        <v>0</v>
      </c>
      <c r="H359">
        <v>160</v>
      </c>
      <c r="I359">
        <v>0</v>
      </c>
      <c r="J359">
        <v>47</v>
      </c>
      <c r="K359">
        <f t="shared" si="35"/>
        <v>4.5999999999999996</v>
      </c>
      <c r="L359">
        <f t="shared" si="36"/>
        <v>46</v>
      </c>
      <c r="M359">
        <f t="shared" si="37"/>
        <v>60</v>
      </c>
      <c r="N359">
        <f t="shared" si="38"/>
        <v>0</v>
      </c>
      <c r="O359">
        <f t="shared" si="39"/>
        <v>36</v>
      </c>
      <c r="P359" t="str">
        <f t="shared" si="40"/>
        <v>Not Ready</v>
      </c>
      <c r="Q359" t="str">
        <f t="shared" si="41"/>
        <v>Low</v>
      </c>
    </row>
    <row r="360" spans="1:17" x14ac:dyDescent="0.3">
      <c r="A360">
        <v>1359</v>
      </c>
      <c r="B360">
        <v>10</v>
      </c>
      <c r="C360">
        <v>6</v>
      </c>
      <c r="D360">
        <v>8</v>
      </c>
      <c r="E360">
        <v>2</v>
      </c>
      <c r="F360">
        <v>6</v>
      </c>
      <c r="G360">
        <v>7</v>
      </c>
      <c r="H360">
        <v>187</v>
      </c>
      <c r="I360">
        <v>1</v>
      </c>
      <c r="J360">
        <v>69</v>
      </c>
      <c r="K360">
        <f t="shared" si="35"/>
        <v>6.4</v>
      </c>
      <c r="L360">
        <f t="shared" si="36"/>
        <v>64</v>
      </c>
      <c r="M360">
        <f t="shared" si="37"/>
        <v>60</v>
      </c>
      <c r="N360">
        <f t="shared" si="38"/>
        <v>45</v>
      </c>
      <c r="O360">
        <f t="shared" si="39"/>
        <v>57</v>
      </c>
      <c r="P360" t="str">
        <f t="shared" si="40"/>
        <v>Needs Improvement</v>
      </c>
      <c r="Q360" t="str">
        <f t="shared" si="41"/>
        <v>Medium</v>
      </c>
    </row>
    <row r="361" spans="1:17" x14ac:dyDescent="0.3">
      <c r="A361">
        <v>1360</v>
      </c>
      <c r="B361">
        <v>9</v>
      </c>
      <c r="C361">
        <v>9</v>
      </c>
      <c r="D361">
        <v>6</v>
      </c>
      <c r="E361">
        <v>4</v>
      </c>
      <c r="F361">
        <v>8</v>
      </c>
      <c r="G361">
        <v>8</v>
      </c>
      <c r="H361">
        <v>311</v>
      </c>
      <c r="I361">
        <v>2</v>
      </c>
      <c r="J361">
        <v>92</v>
      </c>
      <c r="K361">
        <f t="shared" si="35"/>
        <v>7.2</v>
      </c>
      <c r="L361">
        <f t="shared" si="36"/>
        <v>72</v>
      </c>
      <c r="M361">
        <f t="shared" si="37"/>
        <v>80</v>
      </c>
      <c r="N361">
        <f t="shared" si="38"/>
        <v>60</v>
      </c>
      <c r="O361">
        <f t="shared" si="39"/>
        <v>71</v>
      </c>
      <c r="P361" t="str">
        <f t="shared" si="40"/>
        <v>Placement Ready</v>
      </c>
      <c r="Q361" t="str">
        <f t="shared" si="41"/>
        <v>High</v>
      </c>
    </row>
    <row r="362" spans="1:17" x14ac:dyDescent="0.3">
      <c r="A362">
        <v>1361</v>
      </c>
      <c r="B362">
        <v>9</v>
      </c>
      <c r="C362">
        <v>4</v>
      </c>
      <c r="D362">
        <v>6</v>
      </c>
      <c r="E362">
        <v>3</v>
      </c>
      <c r="F362">
        <v>1</v>
      </c>
      <c r="G362">
        <v>3</v>
      </c>
      <c r="H362">
        <v>335</v>
      </c>
      <c r="I362">
        <v>0</v>
      </c>
      <c r="J362">
        <v>61</v>
      </c>
      <c r="K362">
        <f t="shared" si="35"/>
        <v>4.5999999999999996</v>
      </c>
      <c r="L362">
        <f t="shared" si="36"/>
        <v>46</v>
      </c>
      <c r="M362">
        <f t="shared" si="37"/>
        <v>80</v>
      </c>
      <c r="N362">
        <f t="shared" si="38"/>
        <v>15</v>
      </c>
      <c r="O362">
        <f t="shared" si="39"/>
        <v>47</v>
      </c>
      <c r="P362" t="str">
        <f t="shared" si="40"/>
        <v>Needs Improvement</v>
      </c>
      <c r="Q362" t="str">
        <f t="shared" si="41"/>
        <v>Medium</v>
      </c>
    </row>
    <row r="363" spans="1:17" x14ac:dyDescent="0.3">
      <c r="A363">
        <v>1362</v>
      </c>
      <c r="B363">
        <v>2</v>
      </c>
      <c r="C363">
        <v>10</v>
      </c>
      <c r="D363">
        <v>10</v>
      </c>
      <c r="E363">
        <v>8</v>
      </c>
      <c r="F363">
        <v>4</v>
      </c>
      <c r="G363">
        <v>6</v>
      </c>
      <c r="H363">
        <v>325</v>
      </c>
      <c r="I363">
        <v>1</v>
      </c>
      <c r="J363">
        <v>92</v>
      </c>
      <c r="K363">
        <f t="shared" si="35"/>
        <v>6.8</v>
      </c>
      <c r="L363">
        <f t="shared" si="36"/>
        <v>68</v>
      </c>
      <c r="M363">
        <f t="shared" si="37"/>
        <v>80</v>
      </c>
      <c r="N363">
        <f t="shared" si="38"/>
        <v>40</v>
      </c>
      <c r="O363">
        <f t="shared" si="39"/>
        <v>63</v>
      </c>
      <c r="P363" t="str">
        <f t="shared" si="40"/>
        <v>Placement Ready</v>
      </c>
      <c r="Q363" t="str">
        <f t="shared" si="41"/>
        <v>Medium</v>
      </c>
    </row>
    <row r="364" spans="1:17" x14ac:dyDescent="0.3">
      <c r="A364">
        <v>1363</v>
      </c>
      <c r="B364">
        <v>6</v>
      </c>
      <c r="C364">
        <v>9</v>
      </c>
      <c r="D364">
        <v>6</v>
      </c>
      <c r="E364">
        <v>7</v>
      </c>
      <c r="F364">
        <v>5</v>
      </c>
      <c r="G364">
        <v>5</v>
      </c>
      <c r="H364">
        <v>198</v>
      </c>
      <c r="I364">
        <v>2</v>
      </c>
      <c r="J364">
        <v>66</v>
      </c>
      <c r="K364">
        <f t="shared" si="35"/>
        <v>6.6</v>
      </c>
      <c r="L364">
        <f t="shared" si="36"/>
        <v>66</v>
      </c>
      <c r="M364">
        <f t="shared" si="37"/>
        <v>60</v>
      </c>
      <c r="N364">
        <f t="shared" si="38"/>
        <v>45</v>
      </c>
      <c r="O364">
        <f t="shared" si="39"/>
        <v>58</v>
      </c>
      <c r="P364" t="str">
        <f t="shared" si="40"/>
        <v>Needs Improvement</v>
      </c>
      <c r="Q364" t="str">
        <f t="shared" si="41"/>
        <v>Medium</v>
      </c>
    </row>
    <row r="365" spans="1:17" x14ac:dyDescent="0.3">
      <c r="A365">
        <v>1364</v>
      </c>
      <c r="B365">
        <v>1</v>
      </c>
      <c r="C365">
        <v>5</v>
      </c>
      <c r="D365">
        <v>8</v>
      </c>
      <c r="E365">
        <v>10</v>
      </c>
      <c r="F365">
        <v>4</v>
      </c>
      <c r="G365">
        <v>7</v>
      </c>
      <c r="H365">
        <v>455</v>
      </c>
      <c r="I365">
        <v>4</v>
      </c>
      <c r="J365">
        <v>91</v>
      </c>
      <c r="K365">
        <f t="shared" si="35"/>
        <v>5.6</v>
      </c>
      <c r="L365">
        <f t="shared" si="36"/>
        <v>56</v>
      </c>
      <c r="M365">
        <f t="shared" si="37"/>
        <v>100</v>
      </c>
      <c r="N365">
        <f t="shared" si="38"/>
        <v>75</v>
      </c>
      <c r="O365">
        <f t="shared" si="39"/>
        <v>75</v>
      </c>
      <c r="P365" t="str">
        <f t="shared" si="40"/>
        <v>Placement Ready</v>
      </c>
      <c r="Q365" t="str">
        <f t="shared" si="41"/>
        <v>High</v>
      </c>
    </row>
    <row r="366" spans="1:17" x14ac:dyDescent="0.3">
      <c r="A366">
        <v>1365</v>
      </c>
      <c r="B366">
        <v>9</v>
      </c>
      <c r="C366">
        <v>7</v>
      </c>
      <c r="D366">
        <v>3</v>
      </c>
      <c r="E366">
        <v>10</v>
      </c>
      <c r="F366">
        <v>2</v>
      </c>
      <c r="G366">
        <v>1</v>
      </c>
      <c r="H366">
        <v>357</v>
      </c>
      <c r="I366">
        <v>1</v>
      </c>
      <c r="J366">
        <v>54</v>
      </c>
      <c r="K366">
        <f t="shared" si="35"/>
        <v>6.2</v>
      </c>
      <c r="L366">
        <f t="shared" si="36"/>
        <v>62</v>
      </c>
      <c r="M366">
        <f t="shared" si="37"/>
        <v>80</v>
      </c>
      <c r="N366">
        <f t="shared" si="38"/>
        <v>15</v>
      </c>
      <c r="O366">
        <f t="shared" si="39"/>
        <v>53</v>
      </c>
      <c r="P366" t="str">
        <f t="shared" si="40"/>
        <v>Needs Improvement</v>
      </c>
      <c r="Q366" t="str">
        <f t="shared" si="41"/>
        <v>Medium</v>
      </c>
    </row>
    <row r="367" spans="1:17" x14ac:dyDescent="0.3">
      <c r="A367">
        <v>1366</v>
      </c>
      <c r="B367">
        <v>10</v>
      </c>
      <c r="C367">
        <v>3</v>
      </c>
      <c r="D367">
        <v>9</v>
      </c>
      <c r="E367">
        <v>2</v>
      </c>
      <c r="F367">
        <v>3</v>
      </c>
      <c r="G367">
        <v>7</v>
      </c>
      <c r="H367">
        <v>267</v>
      </c>
      <c r="I367">
        <v>1</v>
      </c>
      <c r="J367">
        <v>51</v>
      </c>
      <c r="K367">
        <f t="shared" si="35"/>
        <v>5.4</v>
      </c>
      <c r="L367">
        <f t="shared" si="36"/>
        <v>54</v>
      </c>
      <c r="M367">
        <f t="shared" si="37"/>
        <v>80</v>
      </c>
      <c r="N367">
        <f t="shared" si="38"/>
        <v>45</v>
      </c>
      <c r="O367">
        <f t="shared" si="39"/>
        <v>59</v>
      </c>
      <c r="P367" t="str">
        <f t="shared" si="40"/>
        <v>Needs Improvement</v>
      </c>
      <c r="Q367" t="str">
        <f t="shared" si="41"/>
        <v>Medium</v>
      </c>
    </row>
    <row r="368" spans="1:17" x14ac:dyDescent="0.3">
      <c r="A368">
        <v>1367</v>
      </c>
      <c r="B368">
        <v>5</v>
      </c>
      <c r="C368">
        <v>8</v>
      </c>
      <c r="D368">
        <v>3</v>
      </c>
      <c r="E368">
        <v>7</v>
      </c>
      <c r="F368">
        <v>10</v>
      </c>
      <c r="G368">
        <v>8</v>
      </c>
      <c r="H368">
        <v>86</v>
      </c>
      <c r="I368">
        <v>5</v>
      </c>
      <c r="J368">
        <v>68</v>
      </c>
      <c r="K368">
        <f t="shared" si="35"/>
        <v>6.6</v>
      </c>
      <c r="L368">
        <f t="shared" si="36"/>
        <v>66</v>
      </c>
      <c r="M368">
        <f t="shared" si="37"/>
        <v>40</v>
      </c>
      <c r="N368">
        <f t="shared" si="38"/>
        <v>90</v>
      </c>
      <c r="O368">
        <f t="shared" si="39"/>
        <v>65</v>
      </c>
      <c r="P368" t="str">
        <f t="shared" si="40"/>
        <v>Needs Improvement</v>
      </c>
      <c r="Q368" t="str">
        <f t="shared" si="41"/>
        <v>Medium</v>
      </c>
    </row>
    <row r="369" spans="1:17" x14ac:dyDescent="0.3">
      <c r="A369">
        <v>1368</v>
      </c>
      <c r="B369">
        <v>8</v>
      </c>
      <c r="C369">
        <v>7</v>
      </c>
      <c r="D369">
        <v>6</v>
      </c>
      <c r="E369">
        <v>8</v>
      </c>
      <c r="F369">
        <v>6</v>
      </c>
      <c r="G369">
        <v>3</v>
      </c>
      <c r="H369">
        <v>96</v>
      </c>
      <c r="I369">
        <v>1</v>
      </c>
      <c r="J369">
        <v>78</v>
      </c>
      <c r="K369">
        <f t="shared" si="35"/>
        <v>7</v>
      </c>
      <c r="L369">
        <f t="shared" si="36"/>
        <v>70</v>
      </c>
      <c r="M369">
        <f t="shared" si="37"/>
        <v>40</v>
      </c>
      <c r="N369">
        <f t="shared" si="38"/>
        <v>25</v>
      </c>
      <c r="O369">
        <f t="shared" si="39"/>
        <v>48</v>
      </c>
      <c r="P369" t="str">
        <f t="shared" si="40"/>
        <v>Placement Ready</v>
      </c>
      <c r="Q369" t="str">
        <f t="shared" si="41"/>
        <v>Medium</v>
      </c>
    </row>
    <row r="370" spans="1:17" x14ac:dyDescent="0.3">
      <c r="A370">
        <v>1369</v>
      </c>
      <c r="B370">
        <v>10</v>
      </c>
      <c r="C370">
        <v>6</v>
      </c>
      <c r="D370">
        <v>10</v>
      </c>
      <c r="E370">
        <v>4</v>
      </c>
      <c r="F370">
        <v>1</v>
      </c>
      <c r="G370">
        <v>6</v>
      </c>
      <c r="H370">
        <v>138</v>
      </c>
      <c r="I370">
        <v>2</v>
      </c>
      <c r="J370">
        <v>84</v>
      </c>
      <c r="K370">
        <f t="shared" si="35"/>
        <v>6.2</v>
      </c>
      <c r="L370">
        <f t="shared" si="36"/>
        <v>62</v>
      </c>
      <c r="M370">
        <f t="shared" si="37"/>
        <v>40</v>
      </c>
      <c r="N370">
        <f t="shared" si="38"/>
        <v>50</v>
      </c>
      <c r="O370">
        <f t="shared" si="39"/>
        <v>52</v>
      </c>
      <c r="P370" t="str">
        <f t="shared" si="40"/>
        <v>Placement Ready</v>
      </c>
      <c r="Q370" t="str">
        <f t="shared" si="41"/>
        <v>Medium</v>
      </c>
    </row>
    <row r="371" spans="1:17" x14ac:dyDescent="0.3">
      <c r="A371">
        <v>1370</v>
      </c>
      <c r="B371">
        <v>3</v>
      </c>
      <c r="C371">
        <v>4</v>
      </c>
      <c r="D371">
        <v>3</v>
      </c>
      <c r="E371">
        <v>3</v>
      </c>
      <c r="F371">
        <v>9</v>
      </c>
      <c r="G371">
        <v>8</v>
      </c>
      <c r="H371">
        <v>53</v>
      </c>
      <c r="I371">
        <v>0</v>
      </c>
      <c r="J371">
        <v>68</v>
      </c>
      <c r="K371">
        <f t="shared" si="35"/>
        <v>4.4000000000000004</v>
      </c>
      <c r="L371">
        <f t="shared" si="36"/>
        <v>44</v>
      </c>
      <c r="M371">
        <f t="shared" si="37"/>
        <v>40</v>
      </c>
      <c r="N371">
        <f t="shared" si="38"/>
        <v>40</v>
      </c>
      <c r="O371">
        <f t="shared" si="39"/>
        <v>42</v>
      </c>
      <c r="P371" t="str">
        <f t="shared" si="40"/>
        <v>Needs Improvement</v>
      </c>
      <c r="Q371" t="str">
        <f t="shared" si="41"/>
        <v>Medium</v>
      </c>
    </row>
    <row r="372" spans="1:17" x14ac:dyDescent="0.3">
      <c r="A372">
        <v>1371</v>
      </c>
      <c r="B372">
        <v>6</v>
      </c>
      <c r="C372">
        <v>4</v>
      </c>
      <c r="D372">
        <v>10</v>
      </c>
      <c r="E372">
        <v>5</v>
      </c>
      <c r="F372">
        <v>5</v>
      </c>
      <c r="G372">
        <v>2</v>
      </c>
      <c r="H372">
        <v>292</v>
      </c>
      <c r="I372">
        <v>5</v>
      </c>
      <c r="J372">
        <v>42</v>
      </c>
      <c r="K372">
        <f t="shared" si="35"/>
        <v>6</v>
      </c>
      <c r="L372">
        <f t="shared" si="36"/>
        <v>60</v>
      </c>
      <c r="M372">
        <f t="shared" si="37"/>
        <v>80</v>
      </c>
      <c r="N372">
        <f t="shared" si="38"/>
        <v>60</v>
      </c>
      <c r="O372">
        <f t="shared" si="39"/>
        <v>66</v>
      </c>
      <c r="P372" t="str">
        <f t="shared" si="40"/>
        <v>Not Ready</v>
      </c>
      <c r="Q372" t="str">
        <f t="shared" si="41"/>
        <v>Medium</v>
      </c>
    </row>
    <row r="373" spans="1:17" x14ac:dyDescent="0.3">
      <c r="A373">
        <v>1372</v>
      </c>
      <c r="B373">
        <v>9</v>
      </c>
      <c r="C373">
        <v>6</v>
      </c>
      <c r="D373">
        <v>9</v>
      </c>
      <c r="E373">
        <v>2</v>
      </c>
      <c r="F373">
        <v>8</v>
      </c>
      <c r="G373">
        <v>3</v>
      </c>
      <c r="H373">
        <v>344</v>
      </c>
      <c r="I373">
        <v>5</v>
      </c>
      <c r="J373">
        <v>84</v>
      </c>
      <c r="K373">
        <f t="shared" si="35"/>
        <v>6.8</v>
      </c>
      <c r="L373">
        <f t="shared" si="36"/>
        <v>68</v>
      </c>
      <c r="M373">
        <f t="shared" si="37"/>
        <v>80</v>
      </c>
      <c r="N373">
        <f t="shared" si="38"/>
        <v>65</v>
      </c>
      <c r="O373">
        <f t="shared" si="39"/>
        <v>71</v>
      </c>
      <c r="P373" t="str">
        <f t="shared" si="40"/>
        <v>Placement Ready</v>
      </c>
      <c r="Q373" t="str">
        <f t="shared" si="41"/>
        <v>High</v>
      </c>
    </row>
    <row r="374" spans="1:17" x14ac:dyDescent="0.3">
      <c r="A374">
        <v>1373</v>
      </c>
      <c r="B374">
        <v>3</v>
      </c>
      <c r="C374">
        <v>5</v>
      </c>
      <c r="D374">
        <v>8</v>
      </c>
      <c r="E374">
        <v>9</v>
      </c>
      <c r="F374">
        <v>1</v>
      </c>
      <c r="G374">
        <v>3</v>
      </c>
      <c r="H374">
        <v>446</v>
      </c>
      <c r="I374">
        <v>2</v>
      </c>
      <c r="J374">
        <v>80</v>
      </c>
      <c r="K374">
        <f t="shared" si="35"/>
        <v>5.2</v>
      </c>
      <c r="L374">
        <f t="shared" si="36"/>
        <v>52</v>
      </c>
      <c r="M374">
        <f t="shared" si="37"/>
        <v>100</v>
      </c>
      <c r="N374">
        <f t="shared" si="38"/>
        <v>35</v>
      </c>
      <c r="O374">
        <f t="shared" si="39"/>
        <v>61</v>
      </c>
      <c r="P374" t="str">
        <f t="shared" si="40"/>
        <v>Placement Ready</v>
      </c>
      <c r="Q374" t="str">
        <f t="shared" si="41"/>
        <v>Medium</v>
      </c>
    </row>
    <row r="375" spans="1:17" x14ac:dyDescent="0.3">
      <c r="A375">
        <v>1374</v>
      </c>
      <c r="B375">
        <v>8</v>
      </c>
      <c r="C375">
        <v>1</v>
      </c>
      <c r="D375">
        <v>9</v>
      </c>
      <c r="E375">
        <v>7</v>
      </c>
      <c r="F375">
        <v>4</v>
      </c>
      <c r="G375">
        <v>3</v>
      </c>
      <c r="H375">
        <v>298</v>
      </c>
      <c r="I375">
        <v>2</v>
      </c>
      <c r="J375">
        <v>72</v>
      </c>
      <c r="K375">
        <f t="shared" si="35"/>
        <v>5.8</v>
      </c>
      <c r="L375">
        <f t="shared" si="36"/>
        <v>58</v>
      </c>
      <c r="M375">
        <f t="shared" si="37"/>
        <v>80</v>
      </c>
      <c r="N375">
        <f t="shared" si="38"/>
        <v>35</v>
      </c>
      <c r="O375">
        <f t="shared" si="39"/>
        <v>58</v>
      </c>
      <c r="P375" t="str">
        <f t="shared" si="40"/>
        <v>Needs Improvement</v>
      </c>
      <c r="Q375" t="str">
        <f t="shared" si="41"/>
        <v>Medium</v>
      </c>
    </row>
    <row r="376" spans="1:17" x14ac:dyDescent="0.3">
      <c r="A376">
        <v>1375</v>
      </c>
      <c r="B376">
        <v>4</v>
      </c>
      <c r="C376">
        <v>10</v>
      </c>
      <c r="D376">
        <v>6</v>
      </c>
      <c r="E376">
        <v>10</v>
      </c>
      <c r="F376">
        <v>3</v>
      </c>
      <c r="G376">
        <v>2</v>
      </c>
      <c r="H376">
        <v>391</v>
      </c>
      <c r="I376">
        <v>5</v>
      </c>
      <c r="J376">
        <v>58</v>
      </c>
      <c r="K376">
        <f t="shared" si="35"/>
        <v>6.6</v>
      </c>
      <c r="L376">
        <f t="shared" si="36"/>
        <v>66</v>
      </c>
      <c r="M376">
        <f t="shared" si="37"/>
        <v>80</v>
      </c>
      <c r="N376">
        <f t="shared" si="38"/>
        <v>60</v>
      </c>
      <c r="O376">
        <f t="shared" si="39"/>
        <v>68</v>
      </c>
      <c r="P376" t="str">
        <f t="shared" si="40"/>
        <v>Needs Improvement</v>
      </c>
      <c r="Q376" t="str">
        <f t="shared" si="41"/>
        <v>Medium</v>
      </c>
    </row>
    <row r="377" spans="1:17" x14ac:dyDescent="0.3">
      <c r="A377">
        <v>1376</v>
      </c>
      <c r="B377">
        <v>10</v>
      </c>
      <c r="C377">
        <v>1</v>
      </c>
      <c r="D377">
        <v>4</v>
      </c>
      <c r="E377">
        <v>9</v>
      </c>
      <c r="F377">
        <v>9</v>
      </c>
      <c r="G377">
        <v>4</v>
      </c>
      <c r="H377">
        <v>116</v>
      </c>
      <c r="I377">
        <v>1</v>
      </c>
      <c r="J377">
        <v>40</v>
      </c>
      <c r="K377">
        <f t="shared" si="35"/>
        <v>6.6</v>
      </c>
      <c r="L377">
        <f t="shared" si="36"/>
        <v>66</v>
      </c>
      <c r="M377">
        <f t="shared" si="37"/>
        <v>40</v>
      </c>
      <c r="N377">
        <f t="shared" si="38"/>
        <v>30</v>
      </c>
      <c r="O377">
        <f t="shared" si="39"/>
        <v>47</v>
      </c>
      <c r="P377" t="str">
        <f t="shared" si="40"/>
        <v>Not Ready</v>
      </c>
      <c r="Q377" t="str">
        <f t="shared" si="41"/>
        <v>Medium</v>
      </c>
    </row>
    <row r="378" spans="1:17" x14ac:dyDescent="0.3">
      <c r="A378">
        <v>1377</v>
      </c>
      <c r="B378">
        <v>8</v>
      </c>
      <c r="C378">
        <v>6</v>
      </c>
      <c r="D378">
        <v>6</v>
      </c>
      <c r="E378">
        <v>2</v>
      </c>
      <c r="F378">
        <v>3</v>
      </c>
      <c r="G378">
        <v>6</v>
      </c>
      <c r="H378">
        <v>134</v>
      </c>
      <c r="I378">
        <v>3</v>
      </c>
      <c r="J378">
        <v>84</v>
      </c>
      <c r="K378">
        <f t="shared" si="35"/>
        <v>5</v>
      </c>
      <c r="L378">
        <f t="shared" si="36"/>
        <v>50</v>
      </c>
      <c r="M378">
        <f t="shared" si="37"/>
        <v>40</v>
      </c>
      <c r="N378">
        <f t="shared" si="38"/>
        <v>60</v>
      </c>
      <c r="O378">
        <f t="shared" si="39"/>
        <v>50</v>
      </c>
      <c r="P378" t="str">
        <f t="shared" si="40"/>
        <v>Placement Ready</v>
      </c>
      <c r="Q378" t="str">
        <f t="shared" si="41"/>
        <v>Medium</v>
      </c>
    </row>
    <row r="379" spans="1:17" x14ac:dyDescent="0.3">
      <c r="A379">
        <v>1378</v>
      </c>
      <c r="B379">
        <v>9</v>
      </c>
      <c r="C379">
        <v>8</v>
      </c>
      <c r="D379">
        <v>6</v>
      </c>
      <c r="E379">
        <v>9</v>
      </c>
      <c r="F379">
        <v>8</v>
      </c>
      <c r="G379">
        <v>4</v>
      </c>
      <c r="H379">
        <v>52</v>
      </c>
      <c r="I379">
        <v>2</v>
      </c>
      <c r="J379">
        <v>51</v>
      </c>
      <c r="K379">
        <f t="shared" si="35"/>
        <v>8</v>
      </c>
      <c r="L379">
        <f t="shared" si="36"/>
        <v>80</v>
      </c>
      <c r="M379">
        <f t="shared" si="37"/>
        <v>40</v>
      </c>
      <c r="N379">
        <f t="shared" si="38"/>
        <v>40</v>
      </c>
      <c r="O379">
        <f t="shared" si="39"/>
        <v>56</v>
      </c>
      <c r="P379" t="str">
        <f t="shared" si="40"/>
        <v>Needs Improvement</v>
      </c>
      <c r="Q379" t="str">
        <f t="shared" si="41"/>
        <v>Medium</v>
      </c>
    </row>
    <row r="380" spans="1:17" x14ac:dyDescent="0.3">
      <c r="A380">
        <v>1379</v>
      </c>
      <c r="B380">
        <v>4</v>
      </c>
      <c r="C380">
        <v>2</v>
      </c>
      <c r="D380">
        <v>5</v>
      </c>
      <c r="E380">
        <v>1</v>
      </c>
      <c r="F380">
        <v>2</v>
      </c>
      <c r="G380">
        <v>5</v>
      </c>
      <c r="H380">
        <v>84</v>
      </c>
      <c r="I380">
        <v>4</v>
      </c>
      <c r="J380">
        <v>83</v>
      </c>
      <c r="K380">
        <f t="shared" si="35"/>
        <v>2.8</v>
      </c>
      <c r="L380">
        <f t="shared" si="36"/>
        <v>28</v>
      </c>
      <c r="M380">
        <f t="shared" si="37"/>
        <v>40</v>
      </c>
      <c r="N380">
        <f t="shared" si="38"/>
        <v>65</v>
      </c>
      <c r="O380">
        <f t="shared" si="39"/>
        <v>43</v>
      </c>
      <c r="P380" t="str">
        <f t="shared" si="40"/>
        <v>Placement Ready</v>
      </c>
      <c r="Q380" t="str">
        <f t="shared" si="41"/>
        <v>Medium</v>
      </c>
    </row>
    <row r="381" spans="1:17" x14ac:dyDescent="0.3">
      <c r="A381">
        <v>1380</v>
      </c>
      <c r="B381">
        <v>8</v>
      </c>
      <c r="C381">
        <v>2</v>
      </c>
      <c r="D381">
        <v>8</v>
      </c>
      <c r="E381">
        <v>3</v>
      </c>
      <c r="F381">
        <v>4</v>
      </c>
      <c r="G381">
        <v>2</v>
      </c>
      <c r="H381">
        <v>337</v>
      </c>
      <c r="I381">
        <v>1</v>
      </c>
      <c r="J381">
        <v>53</v>
      </c>
      <c r="K381">
        <f t="shared" si="35"/>
        <v>5</v>
      </c>
      <c r="L381">
        <f t="shared" si="36"/>
        <v>50</v>
      </c>
      <c r="M381">
        <f t="shared" si="37"/>
        <v>80</v>
      </c>
      <c r="N381">
        <f t="shared" si="38"/>
        <v>20</v>
      </c>
      <c r="O381">
        <f t="shared" si="39"/>
        <v>50</v>
      </c>
      <c r="P381" t="str">
        <f t="shared" si="40"/>
        <v>Needs Improvement</v>
      </c>
      <c r="Q381" t="str">
        <f t="shared" si="41"/>
        <v>Medium</v>
      </c>
    </row>
    <row r="382" spans="1:17" x14ac:dyDescent="0.3">
      <c r="A382">
        <v>1381</v>
      </c>
      <c r="B382">
        <v>2</v>
      </c>
      <c r="C382">
        <v>2</v>
      </c>
      <c r="D382">
        <v>1</v>
      </c>
      <c r="E382">
        <v>1</v>
      </c>
      <c r="F382">
        <v>4</v>
      </c>
      <c r="G382">
        <v>0</v>
      </c>
      <c r="H382">
        <v>395</v>
      </c>
      <c r="I382">
        <v>5</v>
      </c>
      <c r="J382">
        <v>95</v>
      </c>
      <c r="K382">
        <f t="shared" si="35"/>
        <v>2</v>
      </c>
      <c r="L382">
        <f t="shared" si="36"/>
        <v>20</v>
      </c>
      <c r="M382">
        <f t="shared" si="37"/>
        <v>80</v>
      </c>
      <c r="N382">
        <f t="shared" si="38"/>
        <v>50</v>
      </c>
      <c r="O382">
        <f t="shared" si="39"/>
        <v>47</v>
      </c>
      <c r="P382" t="str">
        <f t="shared" si="40"/>
        <v>Placement Ready</v>
      </c>
      <c r="Q382" t="str">
        <f t="shared" si="41"/>
        <v>Medium</v>
      </c>
    </row>
    <row r="383" spans="1:17" x14ac:dyDescent="0.3">
      <c r="A383">
        <v>1382</v>
      </c>
      <c r="B383">
        <v>2</v>
      </c>
      <c r="C383">
        <v>10</v>
      </c>
      <c r="D383">
        <v>5</v>
      </c>
      <c r="E383">
        <v>8</v>
      </c>
      <c r="F383">
        <v>2</v>
      </c>
      <c r="G383">
        <v>4</v>
      </c>
      <c r="H383">
        <v>443</v>
      </c>
      <c r="I383">
        <v>0</v>
      </c>
      <c r="J383">
        <v>42</v>
      </c>
      <c r="K383">
        <f t="shared" si="35"/>
        <v>5.4</v>
      </c>
      <c r="L383">
        <f t="shared" si="36"/>
        <v>54</v>
      </c>
      <c r="M383">
        <f t="shared" si="37"/>
        <v>100</v>
      </c>
      <c r="N383">
        <f t="shared" si="38"/>
        <v>20</v>
      </c>
      <c r="O383">
        <f t="shared" si="39"/>
        <v>58</v>
      </c>
      <c r="P383" t="str">
        <f t="shared" si="40"/>
        <v>Not Ready</v>
      </c>
      <c r="Q383" t="str">
        <f t="shared" si="41"/>
        <v>Medium</v>
      </c>
    </row>
    <row r="384" spans="1:17" x14ac:dyDescent="0.3">
      <c r="A384">
        <v>1383</v>
      </c>
      <c r="B384">
        <v>6</v>
      </c>
      <c r="C384">
        <v>9</v>
      </c>
      <c r="D384">
        <v>10</v>
      </c>
      <c r="E384">
        <v>3</v>
      </c>
      <c r="F384">
        <v>10</v>
      </c>
      <c r="G384">
        <v>0</v>
      </c>
      <c r="H384">
        <v>376</v>
      </c>
      <c r="I384">
        <v>5</v>
      </c>
      <c r="J384">
        <v>85</v>
      </c>
      <c r="K384">
        <f t="shared" si="35"/>
        <v>7.6</v>
      </c>
      <c r="L384">
        <f t="shared" si="36"/>
        <v>76</v>
      </c>
      <c r="M384">
        <f t="shared" si="37"/>
        <v>80</v>
      </c>
      <c r="N384">
        <f t="shared" si="38"/>
        <v>50</v>
      </c>
      <c r="O384">
        <f t="shared" si="39"/>
        <v>69</v>
      </c>
      <c r="P384" t="str">
        <f t="shared" si="40"/>
        <v>Placement Ready</v>
      </c>
      <c r="Q384" t="str">
        <f t="shared" si="41"/>
        <v>Medium</v>
      </c>
    </row>
    <row r="385" spans="1:17" x14ac:dyDescent="0.3">
      <c r="A385">
        <v>1384</v>
      </c>
      <c r="B385">
        <v>2</v>
      </c>
      <c r="C385">
        <v>3</v>
      </c>
      <c r="D385">
        <v>7</v>
      </c>
      <c r="E385">
        <v>3</v>
      </c>
      <c r="F385">
        <v>9</v>
      </c>
      <c r="G385">
        <v>5</v>
      </c>
      <c r="H385">
        <v>126</v>
      </c>
      <c r="I385">
        <v>1</v>
      </c>
      <c r="J385">
        <v>76</v>
      </c>
      <c r="K385">
        <f t="shared" si="35"/>
        <v>4.8</v>
      </c>
      <c r="L385">
        <f t="shared" si="36"/>
        <v>48</v>
      </c>
      <c r="M385">
        <f t="shared" si="37"/>
        <v>40</v>
      </c>
      <c r="N385">
        <f t="shared" si="38"/>
        <v>35</v>
      </c>
      <c r="O385">
        <f t="shared" si="39"/>
        <v>42</v>
      </c>
      <c r="P385" t="str">
        <f t="shared" si="40"/>
        <v>Placement Ready</v>
      </c>
      <c r="Q385" t="str">
        <f t="shared" si="41"/>
        <v>Medium</v>
      </c>
    </row>
    <row r="386" spans="1:17" x14ac:dyDescent="0.3">
      <c r="A386">
        <v>1385</v>
      </c>
      <c r="B386">
        <v>5</v>
      </c>
      <c r="C386">
        <v>7</v>
      </c>
      <c r="D386">
        <v>2</v>
      </c>
      <c r="E386">
        <v>5</v>
      </c>
      <c r="F386">
        <v>10</v>
      </c>
      <c r="G386">
        <v>3</v>
      </c>
      <c r="H386">
        <v>500</v>
      </c>
      <c r="I386">
        <v>4</v>
      </c>
      <c r="J386">
        <v>53</v>
      </c>
      <c r="K386">
        <f t="shared" si="35"/>
        <v>5.8</v>
      </c>
      <c r="L386">
        <f t="shared" si="36"/>
        <v>58</v>
      </c>
      <c r="M386">
        <f t="shared" si="37"/>
        <v>100</v>
      </c>
      <c r="N386">
        <f t="shared" si="38"/>
        <v>55</v>
      </c>
      <c r="O386">
        <f t="shared" si="39"/>
        <v>70</v>
      </c>
      <c r="P386" t="str">
        <f t="shared" si="40"/>
        <v>Needs Improvement</v>
      </c>
      <c r="Q386" t="str">
        <f t="shared" si="41"/>
        <v>Medium</v>
      </c>
    </row>
    <row r="387" spans="1:17" x14ac:dyDescent="0.3">
      <c r="A387">
        <v>1386</v>
      </c>
      <c r="B387">
        <v>7</v>
      </c>
      <c r="C387">
        <v>1</v>
      </c>
      <c r="D387">
        <v>4</v>
      </c>
      <c r="E387">
        <v>8</v>
      </c>
      <c r="F387">
        <v>10</v>
      </c>
      <c r="G387">
        <v>0</v>
      </c>
      <c r="H387">
        <v>101</v>
      </c>
      <c r="I387">
        <v>4</v>
      </c>
      <c r="J387">
        <v>87</v>
      </c>
      <c r="K387">
        <f t="shared" ref="K387:K450" si="42">AVERAGE(B387:F387)</f>
        <v>6</v>
      </c>
      <c r="L387">
        <f t="shared" ref="L387:L450" si="43">K387*10</f>
        <v>60</v>
      </c>
      <c r="M387">
        <f t="shared" ref="M387:M450" si="44">IF(H387&gt;=400,100,IF(H387&gt;=250,80,IF(H387&gt;=150,60,40)))</f>
        <v>40</v>
      </c>
      <c r="N387">
        <f t="shared" ref="N387:N450" si="45">(G387*5)+(I387*10)</f>
        <v>40</v>
      </c>
      <c r="O387">
        <f t="shared" ref="O387:O450" si="46">ROUND((L387*0.4)+(M387*0.3)+(N387*0.3),0)</f>
        <v>48</v>
      </c>
      <c r="P387" t="str">
        <f t="shared" ref="P387:P450" si="47">IF(J387&gt;=75,"Placement Ready",IF(J387&gt;=50,"Needs Improvement","Not Ready"))</f>
        <v>Placement Ready</v>
      </c>
      <c r="Q387" t="str">
        <f t="shared" ref="Q387:Q450" si="48">IF(O387&lt;40,"Low",IF(O387&lt;=70,"Medium","High"))</f>
        <v>Medium</v>
      </c>
    </row>
    <row r="388" spans="1:17" x14ac:dyDescent="0.3">
      <c r="A388">
        <v>1387</v>
      </c>
      <c r="B388">
        <v>10</v>
      </c>
      <c r="C388">
        <v>6</v>
      </c>
      <c r="D388">
        <v>7</v>
      </c>
      <c r="E388">
        <v>10</v>
      </c>
      <c r="F388">
        <v>4</v>
      </c>
      <c r="G388">
        <v>0</v>
      </c>
      <c r="H388">
        <v>150</v>
      </c>
      <c r="I388">
        <v>1</v>
      </c>
      <c r="J388">
        <v>65</v>
      </c>
      <c r="K388">
        <f t="shared" si="42"/>
        <v>7.4</v>
      </c>
      <c r="L388">
        <f t="shared" si="43"/>
        <v>74</v>
      </c>
      <c r="M388">
        <f t="shared" si="44"/>
        <v>60</v>
      </c>
      <c r="N388">
        <f t="shared" si="45"/>
        <v>10</v>
      </c>
      <c r="O388">
        <f t="shared" si="46"/>
        <v>51</v>
      </c>
      <c r="P388" t="str">
        <f t="shared" si="47"/>
        <v>Needs Improvement</v>
      </c>
      <c r="Q388" t="str">
        <f t="shared" si="48"/>
        <v>Medium</v>
      </c>
    </row>
    <row r="389" spans="1:17" x14ac:dyDescent="0.3">
      <c r="A389">
        <v>1388</v>
      </c>
      <c r="B389">
        <v>5</v>
      </c>
      <c r="C389">
        <v>9</v>
      </c>
      <c r="D389">
        <v>5</v>
      </c>
      <c r="E389">
        <v>3</v>
      </c>
      <c r="F389">
        <v>10</v>
      </c>
      <c r="G389">
        <v>2</v>
      </c>
      <c r="H389">
        <v>365</v>
      </c>
      <c r="I389">
        <v>2</v>
      </c>
      <c r="J389">
        <v>95</v>
      </c>
      <c r="K389">
        <f t="shared" si="42"/>
        <v>6.4</v>
      </c>
      <c r="L389">
        <f t="shared" si="43"/>
        <v>64</v>
      </c>
      <c r="M389">
        <f t="shared" si="44"/>
        <v>80</v>
      </c>
      <c r="N389">
        <f t="shared" si="45"/>
        <v>30</v>
      </c>
      <c r="O389">
        <f t="shared" si="46"/>
        <v>59</v>
      </c>
      <c r="P389" t="str">
        <f t="shared" si="47"/>
        <v>Placement Ready</v>
      </c>
      <c r="Q389" t="str">
        <f t="shared" si="48"/>
        <v>Medium</v>
      </c>
    </row>
    <row r="390" spans="1:17" x14ac:dyDescent="0.3">
      <c r="A390">
        <v>1389</v>
      </c>
      <c r="B390">
        <v>10</v>
      </c>
      <c r="C390">
        <v>5</v>
      </c>
      <c r="D390">
        <v>4</v>
      </c>
      <c r="E390">
        <v>2</v>
      </c>
      <c r="F390">
        <v>7</v>
      </c>
      <c r="G390">
        <v>2</v>
      </c>
      <c r="H390">
        <v>464</v>
      </c>
      <c r="I390">
        <v>0</v>
      </c>
      <c r="J390">
        <v>45</v>
      </c>
      <c r="K390">
        <f t="shared" si="42"/>
        <v>5.6</v>
      </c>
      <c r="L390">
        <f t="shared" si="43"/>
        <v>56</v>
      </c>
      <c r="M390">
        <f t="shared" si="44"/>
        <v>100</v>
      </c>
      <c r="N390">
        <f t="shared" si="45"/>
        <v>10</v>
      </c>
      <c r="O390">
        <f t="shared" si="46"/>
        <v>55</v>
      </c>
      <c r="P390" t="str">
        <f t="shared" si="47"/>
        <v>Not Ready</v>
      </c>
      <c r="Q390" t="str">
        <f t="shared" si="48"/>
        <v>Medium</v>
      </c>
    </row>
    <row r="391" spans="1:17" x14ac:dyDescent="0.3">
      <c r="A391">
        <v>1390</v>
      </c>
      <c r="B391">
        <v>8</v>
      </c>
      <c r="C391">
        <v>4</v>
      </c>
      <c r="D391">
        <v>7</v>
      </c>
      <c r="E391">
        <v>1</v>
      </c>
      <c r="F391">
        <v>4</v>
      </c>
      <c r="G391">
        <v>2</v>
      </c>
      <c r="H391">
        <v>327</v>
      </c>
      <c r="I391">
        <v>4</v>
      </c>
      <c r="J391">
        <v>41</v>
      </c>
      <c r="K391">
        <f t="shared" si="42"/>
        <v>4.8</v>
      </c>
      <c r="L391">
        <f t="shared" si="43"/>
        <v>48</v>
      </c>
      <c r="M391">
        <f t="shared" si="44"/>
        <v>80</v>
      </c>
      <c r="N391">
        <f t="shared" si="45"/>
        <v>50</v>
      </c>
      <c r="O391">
        <f t="shared" si="46"/>
        <v>58</v>
      </c>
      <c r="P391" t="str">
        <f t="shared" si="47"/>
        <v>Not Ready</v>
      </c>
      <c r="Q391" t="str">
        <f t="shared" si="48"/>
        <v>Medium</v>
      </c>
    </row>
    <row r="392" spans="1:17" x14ac:dyDescent="0.3">
      <c r="A392">
        <v>1391</v>
      </c>
      <c r="B392">
        <v>10</v>
      </c>
      <c r="C392">
        <v>6</v>
      </c>
      <c r="D392">
        <v>4</v>
      </c>
      <c r="E392">
        <v>8</v>
      </c>
      <c r="F392">
        <v>5</v>
      </c>
      <c r="G392">
        <v>8</v>
      </c>
      <c r="H392">
        <v>434</v>
      </c>
      <c r="I392">
        <v>0</v>
      </c>
      <c r="J392">
        <v>75</v>
      </c>
      <c r="K392">
        <f t="shared" si="42"/>
        <v>6.6</v>
      </c>
      <c r="L392">
        <f t="shared" si="43"/>
        <v>66</v>
      </c>
      <c r="M392">
        <f t="shared" si="44"/>
        <v>100</v>
      </c>
      <c r="N392">
        <f t="shared" si="45"/>
        <v>40</v>
      </c>
      <c r="O392">
        <f t="shared" si="46"/>
        <v>68</v>
      </c>
      <c r="P392" t="str">
        <f t="shared" si="47"/>
        <v>Placement Ready</v>
      </c>
      <c r="Q392" t="str">
        <f t="shared" si="48"/>
        <v>Medium</v>
      </c>
    </row>
    <row r="393" spans="1:17" x14ac:dyDescent="0.3">
      <c r="A393">
        <v>1392</v>
      </c>
      <c r="B393">
        <v>3</v>
      </c>
      <c r="C393">
        <v>10</v>
      </c>
      <c r="D393">
        <v>7</v>
      </c>
      <c r="E393">
        <v>4</v>
      </c>
      <c r="F393">
        <v>8</v>
      </c>
      <c r="G393">
        <v>6</v>
      </c>
      <c r="H393">
        <v>251</v>
      </c>
      <c r="I393">
        <v>5</v>
      </c>
      <c r="J393">
        <v>42</v>
      </c>
      <c r="K393">
        <f t="shared" si="42"/>
        <v>6.4</v>
      </c>
      <c r="L393">
        <f t="shared" si="43"/>
        <v>64</v>
      </c>
      <c r="M393">
        <f t="shared" si="44"/>
        <v>80</v>
      </c>
      <c r="N393">
        <f t="shared" si="45"/>
        <v>80</v>
      </c>
      <c r="O393">
        <f t="shared" si="46"/>
        <v>74</v>
      </c>
      <c r="P393" t="str">
        <f t="shared" si="47"/>
        <v>Not Ready</v>
      </c>
      <c r="Q393" t="str">
        <f t="shared" si="48"/>
        <v>High</v>
      </c>
    </row>
    <row r="394" spans="1:17" x14ac:dyDescent="0.3">
      <c r="A394">
        <v>1393</v>
      </c>
      <c r="B394">
        <v>9</v>
      </c>
      <c r="C394">
        <v>10</v>
      </c>
      <c r="D394">
        <v>10</v>
      </c>
      <c r="E394">
        <v>9</v>
      </c>
      <c r="F394">
        <v>8</v>
      </c>
      <c r="G394">
        <v>2</v>
      </c>
      <c r="H394">
        <v>58</v>
      </c>
      <c r="I394">
        <v>5</v>
      </c>
      <c r="J394">
        <v>46</v>
      </c>
      <c r="K394">
        <f t="shared" si="42"/>
        <v>9.1999999999999993</v>
      </c>
      <c r="L394">
        <f t="shared" si="43"/>
        <v>92</v>
      </c>
      <c r="M394">
        <f t="shared" si="44"/>
        <v>40</v>
      </c>
      <c r="N394">
        <f t="shared" si="45"/>
        <v>60</v>
      </c>
      <c r="O394">
        <f t="shared" si="46"/>
        <v>67</v>
      </c>
      <c r="P394" t="str">
        <f t="shared" si="47"/>
        <v>Not Ready</v>
      </c>
      <c r="Q394" t="str">
        <f t="shared" si="48"/>
        <v>Medium</v>
      </c>
    </row>
    <row r="395" spans="1:17" x14ac:dyDescent="0.3">
      <c r="A395">
        <v>1394</v>
      </c>
      <c r="B395">
        <v>10</v>
      </c>
      <c r="C395">
        <v>7</v>
      </c>
      <c r="D395">
        <v>7</v>
      </c>
      <c r="E395">
        <v>6</v>
      </c>
      <c r="F395">
        <v>9</v>
      </c>
      <c r="G395">
        <v>4</v>
      </c>
      <c r="H395">
        <v>491</v>
      </c>
      <c r="I395">
        <v>3</v>
      </c>
      <c r="J395">
        <v>63</v>
      </c>
      <c r="K395">
        <f t="shared" si="42"/>
        <v>7.8</v>
      </c>
      <c r="L395">
        <f t="shared" si="43"/>
        <v>78</v>
      </c>
      <c r="M395">
        <f t="shared" si="44"/>
        <v>100</v>
      </c>
      <c r="N395">
        <f t="shared" si="45"/>
        <v>50</v>
      </c>
      <c r="O395">
        <f t="shared" si="46"/>
        <v>76</v>
      </c>
      <c r="P395" t="str">
        <f t="shared" si="47"/>
        <v>Needs Improvement</v>
      </c>
      <c r="Q395" t="str">
        <f t="shared" si="48"/>
        <v>High</v>
      </c>
    </row>
    <row r="396" spans="1:17" x14ac:dyDescent="0.3">
      <c r="A396">
        <v>1395</v>
      </c>
      <c r="B396">
        <v>6</v>
      </c>
      <c r="C396">
        <v>1</v>
      </c>
      <c r="D396">
        <v>4</v>
      </c>
      <c r="E396">
        <v>4</v>
      </c>
      <c r="F396">
        <v>7</v>
      </c>
      <c r="G396">
        <v>4</v>
      </c>
      <c r="H396">
        <v>410</v>
      </c>
      <c r="I396">
        <v>2</v>
      </c>
      <c r="J396">
        <v>76</v>
      </c>
      <c r="K396">
        <f t="shared" si="42"/>
        <v>4.4000000000000004</v>
      </c>
      <c r="L396">
        <f t="shared" si="43"/>
        <v>44</v>
      </c>
      <c r="M396">
        <f t="shared" si="44"/>
        <v>100</v>
      </c>
      <c r="N396">
        <f t="shared" si="45"/>
        <v>40</v>
      </c>
      <c r="O396">
        <f t="shared" si="46"/>
        <v>60</v>
      </c>
      <c r="P396" t="str">
        <f t="shared" si="47"/>
        <v>Placement Ready</v>
      </c>
      <c r="Q396" t="str">
        <f t="shared" si="48"/>
        <v>Medium</v>
      </c>
    </row>
    <row r="397" spans="1:17" x14ac:dyDescent="0.3">
      <c r="A397">
        <v>1396</v>
      </c>
      <c r="B397">
        <v>10</v>
      </c>
      <c r="C397">
        <v>3</v>
      </c>
      <c r="D397">
        <v>2</v>
      </c>
      <c r="E397">
        <v>5</v>
      </c>
      <c r="F397">
        <v>8</v>
      </c>
      <c r="G397">
        <v>1</v>
      </c>
      <c r="H397">
        <v>249</v>
      </c>
      <c r="I397">
        <v>0</v>
      </c>
      <c r="J397">
        <v>88</v>
      </c>
      <c r="K397">
        <f t="shared" si="42"/>
        <v>5.6</v>
      </c>
      <c r="L397">
        <f t="shared" si="43"/>
        <v>56</v>
      </c>
      <c r="M397">
        <f t="shared" si="44"/>
        <v>60</v>
      </c>
      <c r="N397">
        <f t="shared" si="45"/>
        <v>5</v>
      </c>
      <c r="O397">
        <f t="shared" si="46"/>
        <v>42</v>
      </c>
      <c r="P397" t="str">
        <f t="shared" si="47"/>
        <v>Placement Ready</v>
      </c>
      <c r="Q397" t="str">
        <f t="shared" si="48"/>
        <v>Medium</v>
      </c>
    </row>
    <row r="398" spans="1:17" x14ac:dyDescent="0.3">
      <c r="A398">
        <v>1397</v>
      </c>
      <c r="B398">
        <v>9</v>
      </c>
      <c r="C398">
        <v>4</v>
      </c>
      <c r="D398">
        <v>3</v>
      </c>
      <c r="E398">
        <v>5</v>
      </c>
      <c r="F398">
        <v>1</v>
      </c>
      <c r="G398">
        <v>6</v>
      </c>
      <c r="H398">
        <v>406</v>
      </c>
      <c r="I398">
        <v>4</v>
      </c>
      <c r="J398">
        <v>76</v>
      </c>
      <c r="K398">
        <f t="shared" si="42"/>
        <v>4.4000000000000004</v>
      </c>
      <c r="L398">
        <f t="shared" si="43"/>
        <v>44</v>
      </c>
      <c r="M398">
        <f t="shared" si="44"/>
        <v>100</v>
      </c>
      <c r="N398">
        <f t="shared" si="45"/>
        <v>70</v>
      </c>
      <c r="O398">
        <f t="shared" si="46"/>
        <v>69</v>
      </c>
      <c r="P398" t="str">
        <f t="shared" si="47"/>
        <v>Placement Ready</v>
      </c>
      <c r="Q398" t="str">
        <f t="shared" si="48"/>
        <v>Medium</v>
      </c>
    </row>
    <row r="399" spans="1:17" x14ac:dyDescent="0.3">
      <c r="A399">
        <v>1398</v>
      </c>
      <c r="B399">
        <v>1</v>
      </c>
      <c r="C399">
        <v>9</v>
      </c>
      <c r="D399">
        <v>10</v>
      </c>
      <c r="E399">
        <v>8</v>
      </c>
      <c r="F399">
        <v>3</v>
      </c>
      <c r="G399">
        <v>1</v>
      </c>
      <c r="H399">
        <v>110</v>
      </c>
      <c r="I399">
        <v>4</v>
      </c>
      <c r="J399">
        <v>64</v>
      </c>
      <c r="K399">
        <f t="shared" si="42"/>
        <v>6.2</v>
      </c>
      <c r="L399">
        <f t="shared" si="43"/>
        <v>62</v>
      </c>
      <c r="M399">
        <f t="shared" si="44"/>
        <v>40</v>
      </c>
      <c r="N399">
        <f t="shared" si="45"/>
        <v>45</v>
      </c>
      <c r="O399">
        <f t="shared" si="46"/>
        <v>50</v>
      </c>
      <c r="P399" t="str">
        <f t="shared" si="47"/>
        <v>Needs Improvement</v>
      </c>
      <c r="Q399" t="str">
        <f t="shared" si="48"/>
        <v>Medium</v>
      </c>
    </row>
    <row r="400" spans="1:17" x14ac:dyDescent="0.3">
      <c r="A400">
        <v>1399</v>
      </c>
      <c r="B400">
        <v>8</v>
      </c>
      <c r="C400">
        <v>3</v>
      </c>
      <c r="D400">
        <v>8</v>
      </c>
      <c r="E400">
        <v>10</v>
      </c>
      <c r="F400">
        <v>7</v>
      </c>
      <c r="G400">
        <v>0</v>
      </c>
      <c r="H400">
        <v>51</v>
      </c>
      <c r="I400">
        <v>3</v>
      </c>
      <c r="J400">
        <v>71</v>
      </c>
      <c r="K400">
        <f t="shared" si="42"/>
        <v>7.2</v>
      </c>
      <c r="L400">
        <f t="shared" si="43"/>
        <v>72</v>
      </c>
      <c r="M400">
        <f t="shared" si="44"/>
        <v>40</v>
      </c>
      <c r="N400">
        <f t="shared" si="45"/>
        <v>30</v>
      </c>
      <c r="O400">
        <f t="shared" si="46"/>
        <v>50</v>
      </c>
      <c r="P400" t="str">
        <f t="shared" si="47"/>
        <v>Needs Improvement</v>
      </c>
      <c r="Q400" t="str">
        <f t="shared" si="48"/>
        <v>Medium</v>
      </c>
    </row>
    <row r="401" spans="1:17" x14ac:dyDescent="0.3">
      <c r="A401">
        <v>1400</v>
      </c>
      <c r="B401">
        <v>4</v>
      </c>
      <c r="C401">
        <v>1</v>
      </c>
      <c r="D401">
        <v>9</v>
      </c>
      <c r="E401">
        <v>6</v>
      </c>
      <c r="F401">
        <v>5</v>
      </c>
      <c r="G401">
        <v>0</v>
      </c>
      <c r="H401">
        <v>225</v>
      </c>
      <c r="I401">
        <v>3</v>
      </c>
      <c r="J401">
        <v>42</v>
      </c>
      <c r="K401">
        <f t="shared" si="42"/>
        <v>5</v>
      </c>
      <c r="L401">
        <f t="shared" si="43"/>
        <v>50</v>
      </c>
      <c r="M401">
        <f t="shared" si="44"/>
        <v>60</v>
      </c>
      <c r="N401">
        <f t="shared" si="45"/>
        <v>30</v>
      </c>
      <c r="O401">
        <f t="shared" si="46"/>
        <v>47</v>
      </c>
      <c r="P401" t="str">
        <f t="shared" si="47"/>
        <v>Not Ready</v>
      </c>
      <c r="Q401" t="str">
        <f t="shared" si="48"/>
        <v>Medium</v>
      </c>
    </row>
    <row r="402" spans="1:17" x14ac:dyDescent="0.3">
      <c r="A402">
        <v>1401</v>
      </c>
      <c r="B402">
        <v>6</v>
      </c>
      <c r="C402">
        <v>9</v>
      </c>
      <c r="D402">
        <v>7</v>
      </c>
      <c r="E402">
        <v>7</v>
      </c>
      <c r="F402">
        <v>6</v>
      </c>
      <c r="G402">
        <v>8</v>
      </c>
      <c r="H402">
        <v>63</v>
      </c>
      <c r="I402">
        <v>4</v>
      </c>
      <c r="J402">
        <v>79</v>
      </c>
      <c r="K402">
        <f t="shared" si="42"/>
        <v>7</v>
      </c>
      <c r="L402">
        <f t="shared" si="43"/>
        <v>70</v>
      </c>
      <c r="M402">
        <f t="shared" si="44"/>
        <v>40</v>
      </c>
      <c r="N402">
        <f t="shared" si="45"/>
        <v>80</v>
      </c>
      <c r="O402">
        <f t="shared" si="46"/>
        <v>64</v>
      </c>
      <c r="P402" t="str">
        <f t="shared" si="47"/>
        <v>Placement Ready</v>
      </c>
      <c r="Q402" t="str">
        <f t="shared" si="48"/>
        <v>Medium</v>
      </c>
    </row>
    <row r="403" spans="1:17" x14ac:dyDescent="0.3">
      <c r="A403">
        <v>1402</v>
      </c>
      <c r="B403">
        <v>6</v>
      </c>
      <c r="C403">
        <v>6</v>
      </c>
      <c r="D403">
        <v>10</v>
      </c>
      <c r="E403">
        <v>9</v>
      </c>
      <c r="F403">
        <v>4</v>
      </c>
      <c r="G403">
        <v>3</v>
      </c>
      <c r="H403">
        <v>388</v>
      </c>
      <c r="I403">
        <v>1</v>
      </c>
      <c r="J403">
        <v>40</v>
      </c>
      <c r="K403">
        <f t="shared" si="42"/>
        <v>7</v>
      </c>
      <c r="L403">
        <f t="shared" si="43"/>
        <v>70</v>
      </c>
      <c r="M403">
        <f t="shared" si="44"/>
        <v>80</v>
      </c>
      <c r="N403">
        <f t="shared" si="45"/>
        <v>25</v>
      </c>
      <c r="O403">
        <f t="shared" si="46"/>
        <v>60</v>
      </c>
      <c r="P403" t="str">
        <f t="shared" si="47"/>
        <v>Not Ready</v>
      </c>
      <c r="Q403" t="str">
        <f t="shared" si="48"/>
        <v>Medium</v>
      </c>
    </row>
    <row r="404" spans="1:17" x14ac:dyDescent="0.3">
      <c r="A404">
        <v>1403</v>
      </c>
      <c r="B404">
        <v>1</v>
      </c>
      <c r="C404">
        <v>5</v>
      </c>
      <c r="D404">
        <v>3</v>
      </c>
      <c r="E404">
        <v>1</v>
      </c>
      <c r="F404">
        <v>4</v>
      </c>
      <c r="G404">
        <v>4</v>
      </c>
      <c r="H404">
        <v>110</v>
      </c>
      <c r="I404">
        <v>0</v>
      </c>
      <c r="J404">
        <v>70</v>
      </c>
      <c r="K404">
        <f t="shared" si="42"/>
        <v>2.8</v>
      </c>
      <c r="L404">
        <f t="shared" si="43"/>
        <v>28</v>
      </c>
      <c r="M404">
        <f t="shared" si="44"/>
        <v>40</v>
      </c>
      <c r="N404">
        <f t="shared" si="45"/>
        <v>20</v>
      </c>
      <c r="O404">
        <f t="shared" si="46"/>
        <v>29</v>
      </c>
      <c r="P404" t="str">
        <f t="shared" si="47"/>
        <v>Needs Improvement</v>
      </c>
      <c r="Q404" t="str">
        <f t="shared" si="48"/>
        <v>Low</v>
      </c>
    </row>
    <row r="405" spans="1:17" x14ac:dyDescent="0.3">
      <c r="A405">
        <v>1404</v>
      </c>
      <c r="B405">
        <v>4</v>
      </c>
      <c r="C405">
        <v>5</v>
      </c>
      <c r="D405">
        <v>6</v>
      </c>
      <c r="E405">
        <v>6</v>
      </c>
      <c r="F405">
        <v>2</v>
      </c>
      <c r="G405">
        <v>3</v>
      </c>
      <c r="H405">
        <v>180</v>
      </c>
      <c r="I405">
        <v>4</v>
      </c>
      <c r="J405">
        <v>62</v>
      </c>
      <c r="K405">
        <f t="shared" si="42"/>
        <v>4.5999999999999996</v>
      </c>
      <c r="L405">
        <f t="shared" si="43"/>
        <v>46</v>
      </c>
      <c r="M405">
        <f t="shared" si="44"/>
        <v>60</v>
      </c>
      <c r="N405">
        <f t="shared" si="45"/>
        <v>55</v>
      </c>
      <c r="O405">
        <f t="shared" si="46"/>
        <v>53</v>
      </c>
      <c r="P405" t="str">
        <f t="shared" si="47"/>
        <v>Needs Improvement</v>
      </c>
      <c r="Q405" t="str">
        <f t="shared" si="48"/>
        <v>Medium</v>
      </c>
    </row>
    <row r="406" spans="1:17" x14ac:dyDescent="0.3">
      <c r="A406">
        <v>1405</v>
      </c>
      <c r="B406">
        <v>1</v>
      </c>
      <c r="C406">
        <v>5</v>
      </c>
      <c r="D406">
        <v>2</v>
      </c>
      <c r="E406">
        <v>6</v>
      </c>
      <c r="F406">
        <v>5</v>
      </c>
      <c r="G406">
        <v>8</v>
      </c>
      <c r="H406">
        <v>345</v>
      </c>
      <c r="I406">
        <v>4</v>
      </c>
      <c r="J406">
        <v>53</v>
      </c>
      <c r="K406">
        <f t="shared" si="42"/>
        <v>3.8</v>
      </c>
      <c r="L406">
        <f t="shared" si="43"/>
        <v>38</v>
      </c>
      <c r="M406">
        <f t="shared" si="44"/>
        <v>80</v>
      </c>
      <c r="N406">
        <f t="shared" si="45"/>
        <v>80</v>
      </c>
      <c r="O406">
        <f t="shared" si="46"/>
        <v>63</v>
      </c>
      <c r="P406" t="str">
        <f t="shared" si="47"/>
        <v>Needs Improvement</v>
      </c>
      <c r="Q406" t="str">
        <f t="shared" si="48"/>
        <v>Medium</v>
      </c>
    </row>
    <row r="407" spans="1:17" x14ac:dyDescent="0.3">
      <c r="A407">
        <v>1406</v>
      </c>
      <c r="B407">
        <v>4</v>
      </c>
      <c r="C407">
        <v>7</v>
      </c>
      <c r="D407">
        <v>7</v>
      </c>
      <c r="E407">
        <v>5</v>
      </c>
      <c r="F407">
        <v>8</v>
      </c>
      <c r="G407">
        <v>7</v>
      </c>
      <c r="H407">
        <v>123</v>
      </c>
      <c r="I407">
        <v>4</v>
      </c>
      <c r="J407">
        <v>40</v>
      </c>
      <c r="K407">
        <f t="shared" si="42"/>
        <v>6.2</v>
      </c>
      <c r="L407">
        <f t="shared" si="43"/>
        <v>62</v>
      </c>
      <c r="M407">
        <f t="shared" si="44"/>
        <v>40</v>
      </c>
      <c r="N407">
        <f t="shared" si="45"/>
        <v>75</v>
      </c>
      <c r="O407">
        <f t="shared" si="46"/>
        <v>59</v>
      </c>
      <c r="P407" t="str">
        <f t="shared" si="47"/>
        <v>Not Ready</v>
      </c>
      <c r="Q407" t="str">
        <f t="shared" si="48"/>
        <v>Medium</v>
      </c>
    </row>
    <row r="408" spans="1:17" x14ac:dyDescent="0.3">
      <c r="A408">
        <v>1407</v>
      </c>
      <c r="B408">
        <v>5</v>
      </c>
      <c r="C408">
        <v>9</v>
      </c>
      <c r="D408">
        <v>7</v>
      </c>
      <c r="E408">
        <v>8</v>
      </c>
      <c r="F408">
        <v>9</v>
      </c>
      <c r="G408">
        <v>3</v>
      </c>
      <c r="H408">
        <v>314</v>
      </c>
      <c r="I408">
        <v>0</v>
      </c>
      <c r="J408">
        <v>62</v>
      </c>
      <c r="K408">
        <f t="shared" si="42"/>
        <v>7.6</v>
      </c>
      <c r="L408">
        <f t="shared" si="43"/>
        <v>76</v>
      </c>
      <c r="M408">
        <f t="shared" si="44"/>
        <v>80</v>
      </c>
      <c r="N408">
        <f t="shared" si="45"/>
        <v>15</v>
      </c>
      <c r="O408">
        <f t="shared" si="46"/>
        <v>59</v>
      </c>
      <c r="P408" t="str">
        <f t="shared" si="47"/>
        <v>Needs Improvement</v>
      </c>
      <c r="Q408" t="str">
        <f t="shared" si="48"/>
        <v>Medium</v>
      </c>
    </row>
    <row r="409" spans="1:17" x14ac:dyDescent="0.3">
      <c r="A409">
        <v>1408</v>
      </c>
      <c r="B409">
        <v>6</v>
      </c>
      <c r="C409">
        <v>2</v>
      </c>
      <c r="D409">
        <v>8</v>
      </c>
      <c r="E409">
        <v>7</v>
      </c>
      <c r="F409">
        <v>5</v>
      </c>
      <c r="G409">
        <v>4</v>
      </c>
      <c r="H409">
        <v>438</v>
      </c>
      <c r="I409">
        <v>1</v>
      </c>
      <c r="J409">
        <v>56</v>
      </c>
      <c r="K409">
        <f t="shared" si="42"/>
        <v>5.6</v>
      </c>
      <c r="L409">
        <f t="shared" si="43"/>
        <v>56</v>
      </c>
      <c r="M409">
        <f t="shared" si="44"/>
        <v>100</v>
      </c>
      <c r="N409">
        <f t="shared" si="45"/>
        <v>30</v>
      </c>
      <c r="O409">
        <f t="shared" si="46"/>
        <v>61</v>
      </c>
      <c r="P409" t="str">
        <f t="shared" si="47"/>
        <v>Needs Improvement</v>
      </c>
      <c r="Q409" t="str">
        <f t="shared" si="48"/>
        <v>Medium</v>
      </c>
    </row>
    <row r="410" spans="1:17" x14ac:dyDescent="0.3">
      <c r="A410">
        <v>1409</v>
      </c>
      <c r="B410">
        <v>5</v>
      </c>
      <c r="C410">
        <v>5</v>
      </c>
      <c r="D410">
        <v>3</v>
      </c>
      <c r="E410">
        <v>6</v>
      </c>
      <c r="F410">
        <v>3</v>
      </c>
      <c r="G410">
        <v>3</v>
      </c>
      <c r="H410">
        <v>425</v>
      </c>
      <c r="I410">
        <v>3</v>
      </c>
      <c r="J410">
        <v>40</v>
      </c>
      <c r="K410">
        <f t="shared" si="42"/>
        <v>4.4000000000000004</v>
      </c>
      <c r="L410">
        <f t="shared" si="43"/>
        <v>44</v>
      </c>
      <c r="M410">
        <f t="shared" si="44"/>
        <v>100</v>
      </c>
      <c r="N410">
        <f t="shared" si="45"/>
        <v>45</v>
      </c>
      <c r="O410">
        <f t="shared" si="46"/>
        <v>61</v>
      </c>
      <c r="P410" t="str">
        <f t="shared" si="47"/>
        <v>Not Ready</v>
      </c>
      <c r="Q410" t="str">
        <f t="shared" si="48"/>
        <v>Medium</v>
      </c>
    </row>
    <row r="411" spans="1:17" x14ac:dyDescent="0.3">
      <c r="A411">
        <v>1410</v>
      </c>
      <c r="B411">
        <v>5</v>
      </c>
      <c r="C411">
        <v>3</v>
      </c>
      <c r="D411">
        <v>2</v>
      </c>
      <c r="E411">
        <v>6</v>
      </c>
      <c r="F411">
        <v>7</v>
      </c>
      <c r="G411">
        <v>5</v>
      </c>
      <c r="H411">
        <v>82</v>
      </c>
      <c r="I411">
        <v>1</v>
      </c>
      <c r="J411">
        <v>51</v>
      </c>
      <c r="K411">
        <f t="shared" si="42"/>
        <v>4.5999999999999996</v>
      </c>
      <c r="L411">
        <f t="shared" si="43"/>
        <v>46</v>
      </c>
      <c r="M411">
        <f t="shared" si="44"/>
        <v>40</v>
      </c>
      <c r="N411">
        <f t="shared" si="45"/>
        <v>35</v>
      </c>
      <c r="O411">
        <f t="shared" si="46"/>
        <v>41</v>
      </c>
      <c r="P411" t="str">
        <f t="shared" si="47"/>
        <v>Needs Improvement</v>
      </c>
      <c r="Q411" t="str">
        <f t="shared" si="48"/>
        <v>Medium</v>
      </c>
    </row>
    <row r="412" spans="1:17" x14ac:dyDescent="0.3">
      <c r="A412">
        <v>1411</v>
      </c>
      <c r="B412">
        <v>10</v>
      </c>
      <c r="C412">
        <v>7</v>
      </c>
      <c r="D412">
        <v>5</v>
      </c>
      <c r="E412">
        <v>6</v>
      </c>
      <c r="F412">
        <v>10</v>
      </c>
      <c r="G412">
        <v>6</v>
      </c>
      <c r="H412">
        <v>220</v>
      </c>
      <c r="I412">
        <v>5</v>
      </c>
      <c r="J412">
        <v>48</v>
      </c>
      <c r="K412">
        <f t="shared" si="42"/>
        <v>7.6</v>
      </c>
      <c r="L412">
        <f t="shared" si="43"/>
        <v>76</v>
      </c>
      <c r="M412">
        <f t="shared" si="44"/>
        <v>60</v>
      </c>
      <c r="N412">
        <f t="shared" si="45"/>
        <v>80</v>
      </c>
      <c r="O412">
        <f t="shared" si="46"/>
        <v>72</v>
      </c>
      <c r="P412" t="str">
        <f t="shared" si="47"/>
        <v>Not Ready</v>
      </c>
      <c r="Q412" t="str">
        <f t="shared" si="48"/>
        <v>High</v>
      </c>
    </row>
    <row r="413" spans="1:17" x14ac:dyDescent="0.3">
      <c r="A413">
        <v>1412</v>
      </c>
      <c r="B413">
        <v>7</v>
      </c>
      <c r="C413">
        <v>7</v>
      </c>
      <c r="D413">
        <v>2</v>
      </c>
      <c r="E413">
        <v>8</v>
      </c>
      <c r="F413">
        <v>6</v>
      </c>
      <c r="G413">
        <v>2</v>
      </c>
      <c r="H413">
        <v>116</v>
      </c>
      <c r="I413">
        <v>3</v>
      </c>
      <c r="J413">
        <v>92</v>
      </c>
      <c r="K413">
        <f t="shared" si="42"/>
        <v>6</v>
      </c>
      <c r="L413">
        <f t="shared" si="43"/>
        <v>60</v>
      </c>
      <c r="M413">
        <f t="shared" si="44"/>
        <v>40</v>
      </c>
      <c r="N413">
        <f t="shared" si="45"/>
        <v>40</v>
      </c>
      <c r="O413">
        <f t="shared" si="46"/>
        <v>48</v>
      </c>
      <c r="P413" t="str">
        <f t="shared" si="47"/>
        <v>Placement Ready</v>
      </c>
      <c r="Q413" t="str">
        <f t="shared" si="48"/>
        <v>Medium</v>
      </c>
    </row>
    <row r="414" spans="1:17" x14ac:dyDescent="0.3">
      <c r="A414">
        <v>1413</v>
      </c>
      <c r="B414">
        <v>9</v>
      </c>
      <c r="C414">
        <v>7</v>
      </c>
      <c r="D414">
        <v>1</v>
      </c>
      <c r="E414">
        <v>10</v>
      </c>
      <c r="F414">
        <v>6</v>
      </c>
      <c r="G414">
        <v>7</v>
      </c>
      <c r="H414">
        <v>105</v>
      </c>
      <c r="I414">
        <v>2</v>
      </c>
      <c r="J414">
        <v>93</v>
      </c>
      <c r="K414">
        <f t="shared" si="42"/>
        <v>6.6</v>
      </c>
      <c r="L414">
        <f t="shared" si="43"/>
        <v>66</v>
      </c>
      <c r="M414">
        <f t="shared" si="44"/>
        <v>40</v>
      </c>
      <c r="N414">
        <f t="shared" si="45"/>
        <v>55</v>
      </c>
      <c r="O414">
        <f t="shared" si="46"/>
        <v>55</v>
      </c>
      <c r="P414" t="str">
        <f t="shared" si="47"/>
        <v>Placement Ready</v>
      </c>
      <c r="Q414" t="str">
        <f t="shared" si="48"/>
        <v>Medium</v>
      </c>
    </row>
    <row r="415" spans="1:17" x14ac:dyDescent="0.3">
      <c r="A415">
        <v>1414</v>
      </c>
      <c r="B415">
        <v>10</v>
      </c>
      <c r="C415">
        <v>5</v>
      </c>
      <c r="D415">
        <v>8</v>
      </c>
      <c r="E415">
        <v>4</v>
      </c>
      <c r="F415">
        <v>2</v>
      </c>
      <c r="G415">
        <v>8</v>
      </c>
      <c r="H415">
        <v>283</v>
      </c>
      <c r="I415">
        <v>5</v>
      </c>
      <c r="J415">
        <v>51</v>
      </c>
      <c r="K415">
        <f t="shared" si="42"/>
        <v>5.8</v>
      </c>
      <c r="L415">
        <f t="shared" si="43"/>
        <v>58</v>
      </c>
      <c r="M415">
        <f t="shared" si="44"/>
        <v>80</v>
      </c>
      <c r="N415">
        <f t="shared" si="45"/>
        <v>90</v>
      </c>
      <c r="O415">
        <f t="shared" si="46"/>
        <v>74</v>
      </c>
      <c r="P415" t="str">
        <f t="shared" si="47"/>
        <v>Needs Improvement</v>
      </c>
      <c r="Q415" t="str">
        <f t="shared" si="48"/>
        <v>High</v>
      </c>
    </row>
    <row r="416" spans="1:17" x14ac:dyDescent="0.3">
      <c r="A416">
        <v>1415</v>
      </c>
      <c r="B416">
        <v>7</v>
      </c>
      <c r="C416">
        <v>8</v>
      </c>
      <c r="D416">
        <v>5</v>
      </c>
      <c r="E416">
        <v>4</v>
      </c>
      <c r="F416">
        <v>1</v>
      </c>
      <c r="G416">
        <v>4</v>
      </c>
      <c r="H416">
        <v>228</v>
      </c>
      <c r="I416">
        <v>4</v>
      </c>
      <c r="J416">
        <v>60</v>
      </c>
      <c r="K416">
        <f t="shared" si="42"/>
        <v>5</v>
      </c>
      <c r="L416">
        <f t="shared" si="43"/>
        <v>50</v>
      </c>
      <c r="M416">
        <f t="shared" si="44"/>
        <v>60</v>
      </c>
      <c r="N416">
        <f t="shared" si="45"/>
        <v>60</v>
      </c>
      <c r="O416">
        <f t="shared" si="46"/>
        <v>56</v>
      </c>
      <c r="P416" t="str">
        <f t="shared" si="47"/>
        <v>Needs Improvement</v>
      </c>
      <c r="Q416" t="str">
        <f t="shared" si="48"/>
        <v>Medium</v>
      </c>
    </row>
    <row r="417" spans="1:17" x14ac:dyDescent="0.3">
      <c r="A417">
        <v>1416</v>
      </c>
      <c r="B417">
        <v>7</v>
      </c>
      <c r="C417">
        <v>7</v>
      </c>
      <c r="D417">
        <v>8</v>
      </c>
      <c r="E417">
        <v>3</v>
      </c>
      <c r="F417">
        <v>6</v>
      </c>
      <c r="G417">
        <v>2</v>
      </c>
      <c r="H417">
        <v>308</v>
      </c>
      <c r="I417">
        <v>0</v>
      </c>
      <c r="J417">
        <v>84</v>
      </c>
      <c r="K417">
        <f t="shared" si="42"/>
        <v>6.2</v>
      </c>
      <c r="L417">
        <f t="shared" si="43"/>
        <v>62</v>
      </c>
      <c r="M417">
        <f t="shared" si="44"/>
        <v>80</v>
      </c>
      <c r="N417">
        <f t="shared" si="45"/>
        <v>10</v>
      </c>
      <c r="O417">
        <f t="shared" si="46"/>
        <v>52</v>
      </c>
      <c r="P417" t="str">
        <f t="shared" si="47"/>
        <v>Placement Ready</v>
      </c>
      <c r="Q417" t="str">
        <f t="shared" si="48"/>
        <v>Medium</v>
      </c>
    </row>
    <row r="418" spans="1:17" x14ac:dyDescent="0.3">
      <c r="A418">
        <v>1417</v>
      </c>
      <c r="B418">
        <v>5</v>
      </c>
      <c r="C418">
        <v>7</v>
      </c>
      <c r="D418">
        <v>7</v>
      </c>
      <c r="E418">
        <v>1</v>
      </c>
      <c r="F418">
        <v>2</v>
      </c>
      <c r="G418">
        <v>0</v>
      </c>
      <c r="H418">
        <v>434</v>
      </c>
      <c r="I418">
        <v>3</v>
      </c>
      <c r="J418">
        <v>53</v>
      </c>
      <c r="K418">
        <f t="shared" si="42"/>
        <v>4.4000000000000004</v>
      </c>
      <c r="L418">
        <f t="shared" si="43"/>
        <v>44</v>
      </c>
      <c r="M418">
        <f t="shared" si="44"/>
        <v>100</v>
      </c>
      <c r="N418">
        <f t="shared" si="45"/>
        <v>30</v>
      </c>
      <c r="O418">
        <f t="shared" si="46"/>
        <v>57</v>
      </c>
      <c r="P418" t="str">
        <f t="shared" si="47"/>
        <v>Needs Improvement</v>
      </c>
      <c r="Q418" t="str">
        <f t="shared" si="48"/>
        <v>Medium</v>
      </c>
    </row>
    <row r="419" spans="1:17" x14ac:dyDescent="0.3">
      <c r="A419">
        <v>1418</v>
      </c>
      <c r="B419">
        <v>1</v>
      </c>
      <c r="C419">
        <v>9</v>
      </c>
      <c r="D419">
        <v>3</v>
      </c>
      <c r="E419">
        <v>8</v>
      </c>
      <c r="F419">
        <v>2</v>
      </c>
      <c r="G419">
        <v>5</v>
      </c>
      <c r="H419">
        <v>224</v>
      </c>
      <c r="I419">
        <v>1</v>
      </c>
      <c r="J419">
        <v>51</v>
      </c>
      <c r="K419">
        <f t="shared" si="42"/>
        <v>4.5999999999999996</v>
      </c>
      <c r="L419">
        <f t="shared" si="43"/>
        <v>46</v>
      </c>
      <c r="M419">
        <f t="shared" si="44"/>
        <v>60</v>
      </c>
      <c r="N419">
        <f t="shared" si="45"/>
        <v>35</v>
      </c>
      <c r="O419">
        <f t="shared" si="46"/>
        <v>47</v>
      </c>
      <c r="P419" t="str">
        <f t="shared" si="47"/>
        <v>Needs Improvement</v>
      </c>
      <c r="Q419" t="str">
        <f t="shared" si="48"/>
        <v>Medium</v>
      </c>
    </row>
    <row r="420" spans="1:17" x14ac:dyDescent="0.3">
      <c r="A420">
        <v>1419</v>
      </c>
      <c r="B420">
        <v>9</v>
      </c>
      <c r="C420">
        <v>9</v>
      </c>
      <c r="D420">
        <v>3</v>
      </c>
      <c r="E420">
        <v>4</v>
      </c>
      <c r="F420">
        <v>2</v>
      </c>
      <c r="G420">
        <v>1</v>
      </c>
      <c r="H420">
        <v>445</v>
      </c>
      <c r="I420">
        <v>1</v>
      </c>
      <c r="J420">
        <v>62</v>
      </c>
      <c r="K420">
        <f t="shared" si="42"/>
        <v>5.4</v>
      </c>
      <c r="L420">
        <f t="shared" si="43"/>
        <v>54</v>
      </c>
      <c r="M420">
        <f t="shared" si="44"/>
        <v>100</v>
      </c>
      <c r="N420">
        <f t="shared" si="45"/>
        <v>15</v>
      </c>
      <c r="O420">
        <f t="shared" si="46"/>
        <v>56</v>
      </c>
      <c r="P420" t="str">
        <f t="shared" si="47"/>
        <v>Needs Improvement</v>
      </c>
      <c r="Q420" t="str">
        <f t="shared" si="48"/>
        <v>Medium</v>
      </c>
    </row>
    <row r="421" spans="1:17" x14ac:dyDescent="0.3">
      <c r="A421">
        <v>1420</v>
      </c>
      <c r="B421">
        <v>10</v>
      </c>
      <c r="C421">
        <v>2</v>
      </c>
      <c r="D421">
        <v>6</v>
      </c>
      <c r="E421">
        <v>8</v>
      </c>
      <c r="F421">
        <v>6</v>
      </c>
      <c r="G421">
        <v>2</v>
      </c>
      <c r="H421">
        <v>271</v>
      </c>
      <c r="I421">
        <v>3</v>
      </c>
      <c r="J421">
        <v>71</v>
      </c>
      <c r="K421">
        <f t="shared" si="42"/>
        <v>6.4</v>
      </c>
      <c r="L421">
        <f t="shared" si="43"/>
        <v>64</v>
      </c>
      <c r="M421">
        <f t="shared" si="44"/>
        <v>80</v>
      </c>
      <c r="N421">
        <f t="shared" si="45"/>
        <v>40</v>
      </c>
      <c r="O421">
        <f t="shared" si="46"/>
        <v>62</v>
      </c>
      <c r="P421" t="str">
        <f t="shared" si="47"/>
        <v>Needs Improvement</v>
      </c>
      <c r="Q421" t="str">
        <f t="shared" si="48"/>
        <v>Medium</v>
      </c>
    </row>
    <row r="422" spans="1:17" x14ac:dyDescent="0.3">
      <c r="A422">
        <v>1421</v>
      </c>
      <c r="B422">
        <v>8</v>
      </c>
      <c r="C422">
        <v>6</v>
      </c>
      <c r="D422">
        <v>4</v>
      </c>
      <c r="E422">
        <v>2</v>
      </c>
      <c r="F422">
        <v>1</v>
      </c>
      <c r="G422">
        <v>7</v>
      </c>
      <c r="H422">
        <v>287</v>
      </c>
      <c r="I422">
        <v>3</v>
      </c>
      <c r="J422">
        <v>86</v>
      </c>
      <c r="K422">
        <f t="shared" si="42"/>
        <v>4.2</v>
      </c>
      <c r="L422">
        <f t="shared" si="43"/>
        <v>42</v>
      </c>
      <c r="M422">
        <f t="shared" si="44"/>
        <v>80</v>
      </c>
      <c r="N422">
        <f t="shared" si="45"/>
        <v>65</v>
      </c>
      <c r="O422">
        <f t="shared" si="46"/>
        <v>60</v>
      </c>
      <c r="P422" t="str">
        <f t="shared" si="47"/>
        <v>Placement Ready</v>
      </c>
      <c r="Q422" t="str">
        <f t="shared" si="48"/>
        <v>Medium</v>
      </c>
    </row>
    <row r="423" spans="1:17" x14ac:dyDescent="0.3">
      <c r="A423">
        <v>1422</v>
      </c>
      <c r="B423">
        <v>5</v>
      </c>
      <c r="C423">
        <v>2</v>
      </c>
      <c r="D423">
        <v>8</v>
      </c>
      <c r="E423">
        <v>6</v>
      </c>
      <c r="F423">
        <v>6</v>
      </c>
      <c r="G423">
        <v>6</v>
      </c>
      <c r="H423">
        <v>309</v>
      </c>
      <c r="I423">
        <v>5</v>
      </c>
      <c r="J423">
        <v>92</v>
      </c>
      <c r="K423">
        <f t="shared" si="42"/>
        <v>5.4</v>
      </c>
      <c r="L423">
        <f t="shared" si="43"/>
        <v>54</v>
      </c>
      <c r="M423">
        <f t="shared" si="44"/>
        <v>80</v>
      </c>
      <c r="N423">
        <f t="shared" si="45"/>
        <v>80</v>
      </c>
      <c r="O423">
        <f t="shared" si="46"/>
        <v>70</v>
      </c>
      <c r="P423" t="str">
        <f t="shared" si="47"/>
        <v>Placement Ready</v>
      </c>
      <c r="Q423" t="str">
        <f t="shared" si="48"/>
        <v>Medium</v>
      </c>
    </row>
    <row r="424" spans="1:17" x14ac:dyDescent="0.3">
      <c r="A424">
        <v>1423</v>
      </c>
      <c r="B424">
        <v>9</v>
      </c>
      <c r="C424">
        <v>4</v>
      </c>
      <c r="D424">
        <v>8</v>
      </c>
      <c r="E424">
        <v>7</v>
      </c>
      <c r="F424">
        <v>1</v>
      </c>
      <c r="G424">
        <v>3</v>
      </c>
      <c r="H424">
        <v>289</v>
      </c>
      <c r="I424">
        <v>2</v>
      </c>
      <c r="J424">
        <v>67</v>
      </c>
      <c r="K424">
        <f t="shared" si="42"/>
        <v>5.8</v>
      </c>
      <c r="L424">
        <f t="shared" si="43"/>
        <v>58</v>
      </c>
      <c r="M424">
        <f t="shared" si="44"/>
        <v>80</v>
      </c>
      <c r="N424">
        <f t="shared" si="45"/>
        <v>35</v>
      </c>
      <c r="O424">
        <f t="shared" si="46"/>
        <v>58</v>
      </c>
      <c r="P424" t="str">
        <f t="shared" si="47"/>
        <v>Needs Improvement</v>
      </c>
      <c r="Q424" t="str">
        <f t="shared" si="48"/>
        <v>Medium</v>
      </c>
    </row>
    <row r="425" spans="1:17" x14ac:dyDescent="0.3">
      <c r="A425">
        <v>1424</v>
      </c>
      <c r="B425">
        <v>4</v>
      </c>
      <c r="C425">
        <v>4</v>
      </c>
      <c r="D425">
        <v>10</v>
      </c>
      <c r="E425">
        <v>1</v>
      </c>
      <c r="F425">
        <v>1</v>
      </c>
      <c r="G425">
        <v>3</v>
      </c>
      <c r="H425">
        <v>238</v>
      </c>
      <c r="I425">
        <v>2</v>
      </c>
      <c r="J425">
        <v>88</v>
      </c>
      <c r="K425">
        <f t="shared" si="42"/>
        <v>4</v>
      </c>
      <c r="L425">
        <f t="shared" si="43"/>
        <v>40</v>
      </c>
      <c r="M425">
        <f t="shared" si="44"/>
        <v>60</v>
      </c>
      <c r="N425">
        <f t="shared" si="45"/>
        <v>35</v>
      </c>
      <c r="O425">
        <f t="shared" si="46"/>
        <v>45</v>
      </c>
      <c r="P425" t="str">
        <f t="shared" si="47"/>
        <v>Placement Ready</v>
      </c>
      <c r="Q425" t="str">
        <f t="shared" si="48"/>
        <v>Medium</v>
      </c>
    </row>
    <row r="426" spans="1:17" x14ac:dyDescent="0.3">
      <c r="A426">
        <v>1425</v>
      </c>
      <c r="B426">
        <v>9</v>
      </c>
      <c r="C426">
        <v>9</v>
      </c>
      <c r="D426">
        <v>10</v>
      </c>
      <c r="E426">
        <v>5</v>
      </c>
      <c r="F426">
        <v>8</v>
      </c>
      <c r="G426">
        <v>4</v>
      </c>
      <c r="H426">
        <v>264</v>
      </c>
      <c r="I426">
        <v>5</v>
      </c>
      <c r="J426">
        <v>70</v>
      </c>
      <c r="K426">
        <f t="shared" si="42"/>
        <v>8.1999999999999993</v>
      </c>
      <c r="L426">
        <f t="shared" si="43"/>
        <v>82</v>
      </c>
      <c r="M426">
        <f t="shared" si="44"/>
        <v>80</v>
      </c>
      <c r="N426">
        <f t="shared" si="45"/>
        <v>70</v>
      </c>
      <c r="O426">
        <f t="shared" si="46"/>
        <v>78</v>
      </c>
      <c r="P426" t="str">
        <f t="shared" si="47"/>
        <v>Needs Improvement</v>
      </c>
      <c r="Q426" t="str">
        <f t="shared" si="48"/>
        <v>High</v>
      </c>
    </row>
    <row r="427" spans="1:17" x14ac:dyDescent="0.3">
      <c r="A427">
        <v>1426</v>
      </c>
      <c r="B427">
        <v>6</v>
      </c>
      <c r="C427">
        <v>9</v>
      </c>
      <c r="D427">
        <v>10</v>
      </c>
      <c r="E427">
        <v>6</v>
      </c>
      <c r="F427">
        <v>4</v>
      </c>
      <c r="G427">
        <v>1</v>
      </c>
      <c r="H427">
        <v>418</v>
      </c>
      <c r="I427">
        <v>1</v>
      </c>
      <c r="J427">
        <v>62</v>
      </c>
      <c r="K427">
        <f t="shared" si="42"/>
        <v>7</v>
      </c>
      <c r="L427">
        <f t="shared" si="43"/>
        <v>70</v>
      </c>
      <c r="M427">
        <f t="shared" si="44"/>
        <v>100</v>
      </c>
      <c r="N427">
        <f t="shared" si="45"/>
        <v>15</v>
      </c>
      <c r="O427">
        <f t="shared" si="46"/>
        <v>63</v>
      </c>
      <c r="P427" t="str">
        <f t="shared" si="47"/>
        <v>Needs Improvement</v>
      </c>
      <c r="Q427" t="str">
        <f t="shared" si="48"/>
        <v>Medium</v>
      </c>
    </row>
    <row r="428" spans="1:17" x14ac:dyDescent="0.3">
      <c r="A428">
        <v>1427</v>
      </c>
      <c r="B428">
        <v>5</v>
      </c>
      <c r="C428">
        <v>10</v>
      </c>
      <c r="D428">
        <v>4</v>
      </c>
      <c r="E428">
        <v>7</v>
      </c>
      <c r="F428">
        <v>5</v>
      </c>
      <c r="G428">
        <v>3</v>
      </c>
      <c r="H428">
        <v>304</v>
      </c>
      <c r="I428">
        <v>5</v>
      </c>
      <c r="J428">
        <v>93</v>
      </c>
      <c r="K428">
        <f t="shared" si="42"/>
        <v>6.2</v>
      </c>
      <c r="L428">
        <f t="shared" si="43"/>
        <v>62</v>
      </c>
      <c r="M428">
        <f t="shared" si="44"/>
        <v>80</v>
      </c>
      <c r="N428">
        <f t="shared" si="45"/>
        <v>65</v>
      </c>
      <c r="O428">
        <f t="shared" si="46"/>
        <v>68</v>
      </c>
      <c r="P428" t="str">
        <f t="shared" si="47"/>
        <v>Placement Ready</v>
      </c>
      <c r="Q428" t="str">
        <f t="shared" si="48"/>
        <v>Medium</v>
      </c>
    </row>
    <row r="429" spans="1:17" x14ac:dyDescent="0.3">
      <c r="A429">
        <v>1428</v>
      </c>
      <c r="B429">
        <v>8</v>
      </c>
      <c r="C429">
        <v>5</v>
      </c>
      <c r="D429">
        <v>3</v>
      </c>
      <c r="E429">
        <v>8</v>
      </c>
      <c r="F429">
        <v>1</v>
      </c>
      <c r="G429">
        <v>6</v>
      </c>
      <c r="H429">
        <v>330</v>
      </c>
      <c r="I429">
        <v>0</v>
      </c>
      <c r="J429">
        <v>42</v>
      </c>
      <c r="K429">
        <f t="shared" si="42"/>
        <v>5</v>
      </c>
      <c r="L429">
        <f t="shared" si="43"/>
        <v>50</v>
      </c>
      <c r="M429">
        <f t="shared" si="44"/>
        <v>80</v>
      </c>
      <c r="N429">
        <f t="shared" si="45"/>
        <v>30</v>
      </c>
      <c r="O429">
        <f t="shared" si="46"/>
        <v>53</v>
      </c>
      <c r="P429" t="str">
        <f t="shared" si="47"/>
        <v>Not Ready</v>
      </c>
      <c r="Q429" t="str">
        <f t="shared" si="48"/>
        <v>Medium</v>
      </c>
    </row>
    <row r="430" spans="1:17" x14ac:dyDescent="0.3">
      <c r="A430">
        <v>1429</v>
      </c>
      <c r="B430">
        <v>1</v>
      </c>
      <c r="C430">
        <v>9</v>
      </c>
      <c r="D430">
        <v>4</v>
      </c>
      <c r="E430">
        <v>9</v>
      </c>
      <c r="F430">
        <v>10</v>
      </c>
      <c r="G430">
        <v>6</v>
      </c>
      <c r="H430">
        <v>440</v>
      </c>
      <c r="I430">
        <v>5</v>
      </c>
      <c r="J430">
        <v>60</v>
      </c>
      <c r="K430">
        <f t="shared" si="42"/>
        <v>6.6</v>
      </c>
      <c r="L430">
        <f t="shared" si="43"/>
        <v>66</v>
      </c>
      <c r="M430">
        <f t="shared" si="44"/>
        <v>100</v>
      </c>
      <c r="N430">
        <f t="shared" si="45"/>
        <v>80</v>
      </c>
      <c r="O430">
        <f t="shared" si="46"/>
        <v>80</v>
      </c>
      <c r="P430" t="str">
        <f t="shared" si="47"/>
        <v>Needs Improvement</v>
      </c>
      <c r="Q430" t="str">
        <f t="shared" si="48"/>
        <v>High</v>
      </c>
    </row>
    <row r="431" spans="1:17" x14ac:dyDescent="0.3">
      <c r="A431">
        <v>1430</v>
      </c>
      <c r="B431">
        <v>2</v>
      </c>
      <c r="C431">
        <v>2</v>
      </c>
      <c r="D431">
        <v>6</v>
      </c>
      <c r="E431">
        <v>1</v>
      </c>
      <c r="F431">
        <v>5</v>
      </c>
      <c r="G431">
        <v>2</v>
      </c>
      <c r="H431">
        <v>54</v>
      </c>
      <c r="I431">
        <v>4</v>
      </c>
      <c r="J431">
        <v>86</v>
      </c>
      <c r="K431">
        <f t="shared" si="42"/>
        <v>3.2</v>
      </c>
      <c r="L431">
        <f t="shared" si="43"/>
        <v>32</v>
      </c>
      <c r="M431">
        <f t="shared" si="44"/>
        <v>40</v>
      </c>
      <c r="N431">
        <f t="shared" si="45"/>
        <v>50</v>
      </c>
      <c r="O431">
        <f t="shared" si="46"/>
        <v>40</v>
      </c>
      <c r="P431" t="str">
        <f t="shared" si="47"/>
        <v>Placement Ready</v>
      </c>
      <c r="Q431" t="str">
        <f t="shared" si="48"/>
        <v>Medium</v>
      </c>
    </row>
    <row r="432" spans="1:17" x14ac:dyDescent="0.3">
      <c r="A432">
        <v>1431</v>
      </c>
      <c r="B432">
        <v>9</v>
      </c>
      <c r="C432">
        <v>2</v>
      </c>
      <c r="D432">
        <v>2</v>
      </c>
      <c r="E432">
        <v>5</v>
      </c>
      <c r="F432">
        <v>10</v>
      </c>
      <c r="G432">
        <v>4</v>
      </c>
      <c r="H432">
        <v>438</v>
      </c>
      <c r="I432">
        <v>2</v>
      </c>
      <c r="J432">
        <v>94</v>
      </c>
      <c r="K432">
        <f t="shared" si="42"/>
        <v>5.6</v>
      </c>
      <c r="L432">
        <f t="shared" si="43"/>
        <v>56</v>
      </c>
      <c r="M432">
        <f t="shared" si="44"/>
        <v>100</v>
      </c>
      <c r="N432">
        <f t="shared" si="45"/>
        <v>40</v>
      </c>
      <c r="O432">
        <f t="shared" si="46"/>
        <v>64</v>
      </c>
      <c r="P432" t="str">
        <f t="shared" si="47"/>
        <v>Placement Ready</v>
      </c>
      <c r="Q432" t="str">
        <f t="shared" si="48"/>
        <v>Medium</v>
      </c>
    </row>
    <row r="433" spans="1:17" x14ac:dyDescent="0.3">
      <c r="A433">
        <v>1432</v>
      </c>
      <c r="B433">
        <v>10</v>
      </c>
      <c r="C433">
        <v>5</v>
      </c>
      <c r="D433">
        <v>3</v>
      </c>
      <c r="E433">
        <v>1</v>
      </c>
      <c r="F433">
        <v>5</v>
      </c>
      <c r="G433">
        <v>3</v>
      </c>
      <c r="H433">
        <v>358</v>
      </c>
      <c r="I433">
        <v>3</v>
      </c>
      <c r="J433">
        <v>53</v>
      </c>
      <c r="K433">
        <f t="shared" si="42"/>
        <v>4.8</v>
      </c>
      <c r="L433">
        <f t="shared" si="43"/>
        <v>48</v>
      </c>
      <c r="M433">
        <f t="shared" si="44"/>
        <v>80</v>
      </c>
      <c r="N433">
        <f t="shared" si="45"/>
        <v>45</v>
      </c>
      <c r="O433">
        <f t="shared" si="46"/>
        <v>57</v>
      </c>
      <c r="P433" t="str">
        <f t="shared" si="47"/>
        <v>Needs Improvement</v>
      </c>
      <c r="Q433" t="str">
        <f t="shared" si="48"/>
        <v>Medium</v>
      </c>
    </row>
    <row r="434" spans="1:17" x14ac:dyDescent="0.3">
      <c r="A434">
        <v>1433</v>
      </c>
      <c r="B434">
        <v>5</v>
      </c>
      <c r="C434">
        <v>5</v>
      </c>
      <c r="D434">
        <v>7</v>
      </c>
      <c r="E434">
        <v>3</v>
      </c>
      <c r="F434">
        <v>10</v>
      </c>
      <c r="G434">
        <v>8</v>
      </c>
      <c r="H434">
        <v>486</v>
      </c>
      <c r="I434">
        <v>3</v>
      </c>
      <c r="J434">
        <v>69</v>
      </c>
      <c r="K434">
        <f t="shared" si="42"/>
        <v>6</v>
      </c>
      <c r="L434">
        <f t="shared" si="43"/>
        <v>60</v>
      </c>
      <c r="M434">
        <f t="shared" si="44"/>
        <v>100</v>
      </c>
      <c r="N434">
        <f t="shared" si="45"/>
        <v>70</v>
      </c>
      <c r="O434">
        <f t="shared" si="46"/>
        <v>75</v>
      </c>
      <c r="P434" t="str">
        <f t="shared" si="47"/>
        <v>Needs Improvement</v>
      </c>
      <c r="Q434" t="str">
        <f t="shared" si="48"/>
        <v>High</v>
      </c>
    </row>
    <row r="435" spans="1:17" x14ac:dyDescent="0.3">
      <c r="A435">
        <v>1434</v>
      </c>
      <c r="B435">
        <v>8</v>
      </c>
      <c r="C435">
        <v>1</v>
      </c>
      <c r="D435">
        <v>1</v>
      </c>
      <c r="E435">
        <v>10</v>
      </c>
      <c r="F435">
        <v>8</v>
      </c>
      <c r="G435">
        <v>2</v>
      </c>
      <c r="H435">
        <v>307</v>
      </c>
      <c r="I435">
        <v>1</v>
      </c>
      <c r="J435">
        <v>65</v>
      </c>
      <c r="K435">
        <f t="shared" si="42"/>
        <v>5.6</v>
      </c>
      <c r="L435">
        <f t="shared" si="43"/>
        <v>56</v>
      </c>
      <c r="M435">
        <f t="shared" si="44"/>
        <v>80</v>
      </c>
      <c r="N435">
        <f t="shared" si="45"/>
        <v>20</v>
      </c>
      <c r="O435">
        <f t="shared" si="46"/>
        <v>52</v>
      </c>
      <c r="P435" t="str">
        <f t="shared" si="47"/>
        <v>Needs Improvement</v>
      </c>
      <c r="Q435" t="str">
        <f t="shared" si="48"/>
        <v>Medium</v>
      </c>
    </row>
    <row r="436" spans="1:17" x14ac:dyDescent="0.3">
      <c r="A436">
        <v>1435</v>
      </c>
      <c r="B436">
        <v>6</v>
      </c>
      <c r="C436">
        <v>7</v>
      </c>
      <c r="D436">
        <v>9</v>
      </c>
      <c r="E436">
        <v>7</v>
      </c>
      <c r="F436">
        <v>9</v>
      </c>
      <c r="G436">
        <v>4</v>
      </c>
      <c r="H436">
        <v>436</v>
      </c>
      <c r="I436">
        <v>3</v>
      </c>
      <c r="J436">
        <v>93</v>
      </c>
      <c r="K436">
        <f t="shared" si="42"/>
        <v>7.6</v>
      </c>
      <c r="L436">
        <f t="shared" si="43"/>
        <v>76</v>
      </c>
      <c r="M436">
        <f t="shared" si="44"/>
        <v>100</v>
      </c>
      <c r="N436">
        <f t="shared" si="45"/>
        <v>50</v>
      </c>
      <c r="O436">
        <f t="shared" si="46"/>
        <v>75</v>
      </c>
      <c r="P436" t="str">
        <f t="shared" si="47"/>
        <v>Placement Ready</v>
      </c>
      <c r="Q436" t="str">
        <f t="shared" si="48"/>
        <v>High</v>
      </c>
    </row>
    <row r="437" spans="1:17" x14ac:dyDescent="0.3">
      <c r="A437">
        <v>1436</v>
      </c>
      <c r="B437">
        <v>8</v>
      </c>
      <c r="C437">
        <v>2</v>
      </c>
      <c r="D437">
        <v>7</v>
      </c>
      <c r="E437">
        <v>2</v>
      </c>
      <c r="F437">
        <v>3</v>
      </c>
      <c r="G437">
        <v>5</v>
      </c>
      <c r="H437">
        <v>295</v>
      </c>
      <c r="I437">
        <v>3</v>
      </c>
      <c r="J437">
        <v>44</v>
      </c>
      <c r="K437">
        <f t="shared" si="42"/>
        <v>4.4000000000000004</v>
      </c>
      <c r="L437">
        <f t="shared" si="43"/>
        <v>44</v>
      </c>
      <c r="M437">
        <f t="shared" si="44"/>
        <v>80</v>
      </c>
      <c r="N437">
        <f t="shared" si="45"/>
        <v>55</v>
      </c>
      <c r="O437">
        <f t="shared" si="46"/>
        <v>58</v>
      </c>
      <c r="P437" t="str">
        <f t="shared" si="47"/>
        <v>Not Ready</v>
      </c>
      <c r="Q437" t="str">
        <f t="shared" si="48"/>
        <v>Medium</v>
      </c>
    </row>
    <row r="438" spans="1:17" x14ac:dyDescent="0.3">
      <c r="A438">
        <v>1437</v>
      </c>
      <c r="B438">
        <v>5</v>
      </c>
      <c r="C438">
        <v>10</v>
      </c>
      <c r="D438">
        <v>10</v>
      </c>
      <c r="E438">
        <v>3</v>
      </c>
      <c r="F438">
        <v>2</v>
      </c>
      <c r="G438">
        <v>0</v>
      </c>
      <c r="H438">
        <v>438</v>
      </c>
      <c r="I438">
        <v>5</v>
      </c>
      <c r="J438">
        <v>83</v>
      </c>
      <c r="K438">
        <f t="shared" si="42"/>
        <v>6</v>
      </c>
      <c r="L438">
        <f t="shared" si="43"/>
        <v>60</v>
      </c>
      <c r="M438">
        <f t="shared" si="44"/>
        <v>100</v>
      </c>
      <c r="N438">
        <f t="shared" si="45"/>
        <v>50</v>
      </c>
      <c r="O438">
        <f t="shared" si="46"/>
        <v>69</v>
      </c>
      <c r="P438" t="str">
        <f t="shared" si="47"/>
        <v>Placement Ready</v>
      </c>
      <c r="Q438" t="str">
        <f t="shared" si="48"/>
        <v>Medium</v>
      </c>
    </row>
    <row r="439" spans="1:17" x14ac:dyDescent="0.3">
      <c r="A439">
        <v>1438</v>
      </c>
      <c r="B439">
        <v>6</v>
      </c>
      <c r="C439">
        <v>8</v>
      </c>
      <c r="D439">
        <v>8</v>
      </c>
      <c r="E439">
        <v>6</v>
      </c>
      <c r="F439">
        <v>3</v>
      </c>
      <c r="G439">
        <v>4</v>
      </c>
      <c r="H439">
        <v>419</v>
      </c>
      <c r="I439">
        <v>1</v>
      </c>
      <c r="J439">
        <v>68</v>
      </c>
      <c r="K439">
        <f t="shared" si="42"/>
        <v>6.2</v>
      </c>
      <c r="L439">
        <f t="shared" si="43"/>
        <v>62</v>
      </c>
      <c r="M439">
        <f t="shared" si="44"/>
        <v>100</v>
      </c>
      <c r="N439">
        <f t="shared" si="45"/>
        <v>30</v>
      </c>
      <c r="O439">
        <f t="shared" si="46"/>
        <v>64</v>
      </c>
      <c r="P439" t="str">
        <f t="shared" si="47"/>
        <v>Needs Improvement</v>
      </c>
      <c r="Q439" t="str">
        <f t="shared" si="48"/>
        <v>Medium</v>
      </c>
    </row>
    <row r="440" spans="1:17" x14ac:dyDescent="0.3">
      <c r="A440">
        <v>1439</v>
      </c>
      <c r="B440">
        <v>1</v>
      </c>
      <c r="C440">
        <v>8</v>
      </c>
      <c r="D440">
        <v>3</v>
      </c>
      <c r="E440">
        <v>7</v>
      </c>
      <c r="F440">
        <v>8</v>
      </c>
      <c r="G440">
        <v>2</v>
      </c>
      <c r="H440">
        <v>208</v>
      </c>
      <c r="I440">
        <v>2</v>
      </c>
      <c r="J440">
        <v>95</v>
      </c>
      <c r="K440">
        <f t="shared" si="42"/>
        <v>5.4</v>
      </c>
      <c r="L440">
        <f t="shared" si="43"/>
        <v>54</v>
      </c>
      <c r="M440">
        <f t="shared" si="44"/>
        <v>60</v>
      </c>
      <c r="N440">
        <f t="shared" si="45"/>
        <v>30</v>
      </c>
      <c r="O440">
        <f t="shared" si="46"/>
        <v>49</v>
      </c>
      <c r="P440" t="str">
        <f t="shared" si="47"/>
        <v>Placement Ready</v>
      </c>
      <c r="Q440" t="str">
        <f t="shared" si="48"/>
        <v>Medium</v>
      </c>
    </row>
    <row r="441" spans="1:17" x14ac:dyDescent="0.3">
      <c r="A441">
        <v>1440</v>
      </c>
      <c r="B441">
        <v>1</v>
      </c>
      <c r="C441">
        <v>1</v>
      </c>
      <c r="D441">
        <v>1</v>
      </c>
      <c r="E441">
        <v>10</v>
      </c>
      <c r="F441">
        <v>5</v>
      </c>
      <c r="G441">
        <v>3</v>
      </c>
      <c r="H441">
        <v>347</v>
      </c>
      <c r="I441">
        <v>3</v>
      </c>
      <c r="J441">
        <v>57</v>
      </c>
      <c r="K441">
        <f t="shared" si="42"/>
        <v>3.6</v>
      </c>
      <c r="L441">
        <f t="shared" si="43"/>
        <v>36</v>
      </c>
      <c r="M441">
        <f t="shared" si="44"/>
        <v>80</v>
      </c>
      <c r="N441">
        <f t="shared" si="45"/>
        <v>45</v>
      </c>
      <c r="O441">
        <f t="shared" si="46"/>
        <v>52</v>
      </c>
      <c r="P441" t="str">
        <f t="shared" si="47"/>
        <v>Needs Improvement</v>
      </c>
      <c r="Q441" t="str">
        <f t="shared" si="48"/>
        <v>Medium</v>
      </c>
    </row>
    <row r="442" spans="1:17" x14ac:dyDescent="0.3">
      <c r="A442">
        <v>1441</v>
      </c>
      <c r="B442">
        <v>4</v>
      </c>
      <c r="C442">
        <v>2</v>
      </c>
      <c r="D442">
        <v>8</v>
      </c>
      <c r="E442">
        <v>4</v>
      </c>
      <c r="F442">
        <v>1</v>
      </c>
      <c r="G442">
        <v>8</v>
      </c>
      <c r="H442">
        <v>394</v>
      </c>
      <c r="I442">
        <v>5</v>
      </c>
      <c r="J442">
        <v>73</v>
      </c>
      <c r="K442">
        <f t="shared" si="42"/>
        <v>3.8</v>
      </c>
      <c r="L442">
        <f t="shared" si="43"/>
        <v>38</v>
      </c>
      <c r="M442">
        <f t="shared" si="44"/>
        <v>80</v>
      </c>
      <c r="N442">
        <f t="shared" si="45"/>
        <v>90</v>
      </c>
      <c r="O442">
        <f t="shared" si="46"/>
        <v>66</v>
      </c>
      <c r="P442" t="str">
        <f t="shared" si="47"/>
        <v>Needs Improvement</v>
      </c>
      <c r="Q442" t="str">
        <f t="shared" si="48"/>
        <v>Medium</v>
      </c>
    </row>
    <row r="443" spans="1:17" x14ac:dyDescent="0.3">
      <c r="A443">
        <v>1442</v>
      </c>
      <c r="B443">
        <v>9</v>
      </c>
      <c r="C443">
        <v>8</v>
      </c>
      <c r="D443">
        <v>4</v>
      </c>
      <c r="E443">
        <v>8</v>
      </c>
      <c r="F443">
        <v>7</v>
      </c>
      <c r="G443">
        <v>5</v>
      </c>
      <c r="H443">
        <v>163</v>
      </c>
      <c r="I443">
        <v>2</v>
      </c>
      <c r="J443">
        <v>58</v>
      </c>
      <c r="K443">
        <f t="shared" si="42"/>
        <v>7.2</v>
      </c>
      <c r="L443">
        <f t="shared" si="43"/>
        <v>72</v>
      </c>
      <c r="M443">
        <f t="shared" si="44"/>
        <v>60</v>
      </c>
      <c r="N443">
        <f t="shared" si="45"/>
        <v>45</v>
      </c>
      <c r="O443">
        <f t="shared" si="46"/>
        <v>60</v>
      </c>
      <c r="P443" t="str">
        <f t="shared" si="47"/>
        <v>Needs Improvement</v>
      </c>
      <c r="Q443" t="str">
        <f t="shared" si="48"/>
        <v>Medium</v>
      </c>
    </row>
    <row r="444" spans="1:17" x14ac:dyDescent="0.3">
      <c r="A444">
        <v>1443</v>
      </c>
      <c r="B444">
        <v>9</v>
      </c>
      <c r="C444">
        <v>5</v>
      </c>
      <c r="D444">
        <v>8</v>
      </c>
      <c r="E444">
        <v>7</v>
      </c>
      <c r="F444">
        <v>2</v>
      </c>
      <c r="G444">
        <v>4</v>
      </c>
      <c r="H444">
        <v>383</v>
      </c>
      <c r="I444">
        <v>5</v>
      </c>
      <c r="J444">
        <v>91</v>
      </c>
      <c r="K444">
        <f t="shared" si="42"/>
        <v>6.2</v>
      </c>
      <c r="L444">
        <f t="shared" si="43"/>
        <v>62</v>
      </c>
      <c r="M444">
        <f t="shared" si="44"/>
        <v>80</v>
      </c>
      <c r="N444">
        <f t="shared" si="45"/>
        <v>70</v>
      </c>
      <c r="O444">
        <f t="shared" si="46"/>
        <v>70</v>
      </c>
      <c r="P444" t="str">
        <f t="shared" si="47"/>
        <v>Placement Ready</v>
      </c>
      <c r="Q444" t="str">
        <f t="shared" si="48"/>
        <v>Medium</v>
      </c>
    </row>
    <row r="445" spans="1:17" x14ac:dyDescent="0.3">
      <c r="A445">
        <v>1444</v>
      </c>
      <c r="B445">
        <v>5</v>
      </c>
      <c r="C445">
        <v>3</v>
      </c>
      <c r="D445">
        <v>9</v>
      </c>
      <c r="E445">
        <v>6</v>
      </c>
      <c r="F445">
        <v>3</v>
      </c>
      <c r="G445">
        <v>0</v>
      </c>
      <c r="H445">
        <v>177</v>
      </c>
      <c r="I445">
        <v>2</v>
      </c>
      <c r="J445">
        <v>82</v>
      </c>
      <c r="K445">
        <f t="shared" si="42"/>
        <v>5.2</v>
      </c>
      <c r="L445">
        <f t="shared" si="43"/>
        <v>52</v>
      </c>
      <c r="M445">
        <f t="shared" si="44"/>
        <v>60</v>
      </c>
      <c r="N445">
        <f t="shared" si="45"/>
        <v>20</v>
      </c>
      <c r="O445">
        <f t="shared" si="46"/>
        <v>45</v>
      </c>
      <c r="P445" t="str">
        <f t="shared" si="47"/>
        <v>Placement Ready</v>
      </c>
      <c r="Q445" t="str">
        <f t="shared" si="48"/>
        <v>Medium</v>
      </c>
    </row>
    <row r="446" spans="1:17" x14ac:dyDescent="0.3">
      <c r="A446">
        <v>1445</v>
      </c>
      <c r="B446">
        <v>9</v>
      </c>
      <c r="C446">
        <v>4</v>
      </c>
      <c r="D446">
        <v>4</v>
      </c>
      <c r="E446">
        <v>5</v>
      </c>
      <c r="F446">
        <v>6</v>
      </c>
      <c r="G446">
        <v>2</v>
      </c>
      <c r="H446">
        <v>218</v>
      </c>
      <c r="I446">
        <v>0</v>
      </c>
      <c r="J446">
        <v>62</v>
      </c>
      <c r="K446">
        <f t="shared" si="42"/>
        <v>5.6</v>
      </c>
      <c r="L446">
        <f t="shared" si="43"/>
        <v>56</v>
      </c>
      <c r="M446">
        <f t="shared" si="44"/>
        <v>60</v>
      </c>
      <c r="N446">
        <f t="shared" si="45"/>
        <v>10</v>
      </c>
      <c r="O446">
        <f t="shared" si="46"/>
        <v>43</v>
      </c>
      <c r="P446" t="str">
        <f t="shared" si="47"/>
        <v>Needs Improvement</v>
      </c>
      <c r="Q446" t="str">
        <f t="shared" si="48"/>
        <v>Medium</v>
      </c>
    </row>
    <row r="447" spans="1:17" x14ac:dyDescent="0.3">
      <c r="A447">
        <v>1446</v>
      </c>
      <c r="B447">
        <v>7</v>
      </c>
      <c r="C447">
        <v>3</v>
      </c>
      <c r="D447">
        <v>8</v>
      </c>
      <c r="E447">
        <v>1</v>
      </c>
      <c r="F447">
        <v>10</v>
      </c>
      <c r="G447">
        <v>4</v>
      </c>
      <c r="H447">
        <v>380</v>
      </c>
      <c r="I447">
        <v>1</v>
      </c>
      <c r="J447">
        <v>85</v>
      </c>
      <c r="K447">
        <f t="shared" si="42"/>
        <v>5.8</v>
      </c>
      <c r="L447">
        <f t="shared" si="43"/>
        <v>58</v>
      </c>
      <c r="M447">
        <f t="shared" si="44"/>
        <v>80</v>
      </c>
      <c r="N447">
        <f t="shared" si="45"/>
        <v>30</v>
      </c>
      <c r="O447">
        <f t="shared" si="46"/>
        <v>56</v>
      </c>
      <c r="P447" t="str">
        <f t="shared" si="47"/>
        <v>Placement Ready</v>
      </c>
      <c r="Q447" t="str">
        <f t="shared" si="48"/>
        <v>Medium</v>
      </c>
    </row>
    <row r="448" spans="1:17" x14ac:dyDescent="0.3">
      <c r="A448">
        <v>1447</v>
      </c>
      <c r="B448">
        <v>5</v>
      </c>
      <c r="C448">
        <v>7</v>
      </c>
      <c r="D448">
        <v>4</v>
      </c>
      <c r="E448">
        <v>6</v>
      </c>
      <c r="F448">
        <v>1</v>
      </c>
      <c r="G448">
        <v>1</v>
      </c>
      <c r="H448">
        <v>223</v>
      </c>
      <c r="I448">
        <v>3</v>
      </c>
      <c r="J448">
        <v>63</v>
      </c>
      <c r="K448">
        <f t="shared" si="42"/>
        <v>4.5999999999999996</v>
      </c>
      <c r="L448">
        <f t="shared" si="43"/>
        <v>46</v>
      </c>
      <c r="M448">
        <f t="shared" si="44"/>
        <v>60</v>
      </c>
      <c r="N448">
        <f t="shared" si="45"/>
        <v>35</v>
      </c>
      <c r="O448">
        <f t="shared" si="46"/>
        <v>47</v>
      </c>
      <c r="P448" t="str">
        <f t="shared" si="47"/>
        <v>Needs Improvement</v>
      </c>
      <c r="Q448" t="str">
        <f t="shared" si="48"/>
        <v>Medium</v>
      </c>
    </row>
    <row r="449" spans="1:17" x14ac:dyDescent="0.3">
      <c r="A449">
        <v>1448</v>
      </c>
      <c r="B449">
        <v>8</v>
      </c>
      <c r="C449">
        <v>6</v>
      </c>
      <c r="D449">
        <v>8</v>
      </c>
      <c r="E449">
        <v>9</v>
      </c>
      <c r="F449">
        <v>7</v>
      </c>
      <c r="G449">
        <v>8</v>
      </c>
      <c r="H449">
        <v>210</v>
      </c>
      <c r="I449">
        <v>2</v>
      </c>
      <c r="J449">
        <v>54</v>
      </c>
      <c r="K449">
        <f t="shared" si="42"/>
        <v>7.6</v>
      </c>
      <c r="L449">
        <f t="shared" si="43"/>
        <v>76</v>
      </c>
      <c r="M449">
        <f t="shared" si="44"/>
        <v>60</v>
      </c>
      <c r="N449">
        <f t="shared" si="45"/>
        <v>60</v>
      </c>
      <c r="O449">
        <f t="shared" si="46"/>
        <v>66</v>
      </c>
      <c r="P449" t="str">
        <f t="shared" si="47"/>
        <v>Needs Improvement</v>
      </c>
      <c r="Q449" t="str">
        <f t="shared" si="48"/>
        <v>Medium</v>
      </c>
    </row>
    <row r="450" spans="1:17" x14ac:dyDescent="0.3">
      <c r="A450">
        <v>1449</v>
      </c>
      <c r="B450">
        <v>6</v>
      </c>
      <c r="C450">
        <v>7</v>
      </c>
      <c r="D450">
        <v>5</v>
      </c>
      <c r="E450">
        <v>3</v>
      </c>
      <c r="F450">
        <v>2</v>
      </c>
      <c r="G450">
        <v>6</v>
      </c>
      <c r="H450">
        <v>296</v>
      </c>
      <c r="I450">
        <v>2</v>
      </c>
      <c r="J450">
        <v>83</v>
      </c>
      <c r="K450">
        <f t="shared" si="42"/>
        <v>4.5999999999999996</v>
      </c>
      <c r="L450">
        <f t="shared" si="43"/>
        <v>46</v>
      </c>
      <c r="M450">
        <f t="shared" si="44"/>
        <v>80</v>
      </c>
      <c r="N450">
        <f t="shared" si="45"/>
        <v>50</v>
      </c>
      <c r="O450">
        <f t="shared" si="46"/>
        <v>57</v>
      </c>
      <c r="P450" t="str">
        <f t="shared" si="47"/>
        <v>Placement Ready</v>
      </c>
      <c r="Q450" t="str">
        <f t="shared" si="48"/>
        <v>Medium</v>
      </c>
    </row>
    <row r="451" spans="1:17" x14ac:dyDescent="0.3">
      <c r="A451">
        <v>1450</v>
      </c>
      <c r="B451">
        <v>6</v>
      </c>
      <c r="C451">
        <v>7</v>
      </c>
      <c r="D451">
        <v>7</v>
      </c>
      <c r="E451">
        <v>4</v>
      </c>
      <c r="F451">
        <v>10</v>
      </c>
      <c r="G451">
        <v>4</v>
      </c>
      <c r="H451">
        <v>436</v>
      </c>
      <c r="I451">
        <v>1</v>
      </c>
      <c r="J451">
        <v>52</v>
      </c>
      <c r="K451">
        <f t="shared" ref="K451:K514" si="49">AVERAGE(B451:F451)</f>
        <v>6.8</v>
      </c>
      <c r="L451">
        <f t="shared" ref="L451:L514" si="50">K451*10</f>
        <v>68</v>
      </c>
      <c r="M451">
        <f t="shared" ref="M451:M514" si="51">IF(H451&gt;=400,100,IF(H451&gt;=250,80,IF(H451&gt;=150,60,40)))</f>
        <v>100</v>
      </c>
      <c r="N451">
        <f t="shared" ref="N451:N514" si="52">(G451*5)+(I451*10)</f>
        <v>30</v>
      </c>
      <c r="O451">
        <f t="shared" ref="O451:O514" si="53">ROUND((L451*0.4)+(M451*0.3)+(N451*0.3),0)</f>
        <v>66</v>
      </c>
      <c r="P451" t="str">
        <f t="shared" ref="P451:P514" si="54">IF(J451&gt;=75,"Placement Ready",IF(J451&gt;=50,"Needs Improvement","Not Ready"))</f>
        <v>Needs Improvement</v>
      </c>
      <c r="Q451" t="str">
        <f t="shared" ref="Q451:Q514" si="55">IF(O451&lt;40,"Low",IF(O451&lt;=70,"Medium","High"))</f>
        <v>Medium</v>
      </c>
    </row>
    <row r="452" spans="1:17" x14ac:dyDescent="0.3">
      <c r="A452">
        <v>1451</v>
      </c>
      <c r="B452">
        <v>2</v>
      </c>
      <c r="C452">
        <v>1</v>
      </c>
      <c r="D452">
        <v>1</v>
      </c>
      <c r="E452">
        <v>1</v>
      </c>
      <c r="F452">
        <v>1</v>
      </c>
      <c r="G452">
        <v>2</v>
      </c>
      <c r="H452">
        <v>365</v>
      </c>
      <c r="I452">
        <v>1</v>
      </c>
      <c r="J452">
        <v>45</v>
      </c>
      <c r="K452">
        <f t="shared" si="49"/>
        <v>1.2</v>
      </c>
      <c r="L452">
        <f t="shared" si="50"/>
        <v>12</v>
      </c>
      <c r="M452">
        <f t="shared" si="51"/>
        <v>80</v>
      </c>
      <c r="N452">
        <f t="shared" si="52"/>
        <v>20</v>
      </c>
      <c r="O452">
        <f t="shared" si="53"/>
        <v>35</v>
      </c>
      <c r="P452" t="str">
        <f t="shared" si="54"/>
        <v>Not Ready</v>
      </c>
      <c r="Q452" t="str">
        <f t="shared" si="55"/>
        <v>Low</v>
      </c>
    </row>
    <row r="453" spans="1:17" x14ac:dyDescent="0.3">
      <c r="A453">
        <v>1452</v>
      </c>
      <c r="B453">
        <v>10</v>
      </c>
      <c r="C453">
        <v>1</v>
      </c>
      <c r="D453">
        <v>4</v>
      </c>
      <c r="E453">
        <v>1</v>
      </c>
      <c r="F453">
        <v>3</v>
      </c>
      <c r="G453">
        <v>1</v>
      </c>
      <c r="H453">
        <v>270</v>
      </c>
      <c r="I453">
        <v>5</v>
      </c>
      <c r="J453">
        <v>74</v>
      </c>
      <c r="K453">
        <f t="shared" si="49"/>
        <v>3.8</v>
      </c>
      <c r="L453">
        <f t="shared" si="50"/>
        <v>38</v>
      </c>
      <c r="M453">
        <f t="shared" si="51"/>
        <v>80</v>
      </c>
      <c r="N453">
        <f t="shared" si="52"/>
        <v>55</v>
      </c>
      <c r="O453">
        <f t="shared" si="53"/>
        <v>56</v>
      </c>
      <c r="P453" t="str">
        <f t="shared" si="54"/>
        <v>Needs Improvement</v>
      </c>
      <c r="Q453" t="str">
        <f t="shared" si="55"/>
        <v>Medium</v>
      </c>
    </row>
    <row r="454" spans="1:17" x14ac:dyDescent="0.3">
      <c r="A454">
        <v>1453</v>
      </c>
      <c r="B454">
        <v>9</v>
      </c>
      <c r="C454">
        <v>4</v>
      </c>
      <c r="D454">
        <v>5</v>
      </c>
      <c r="E454">
        <v>4</v>
      </c>
      <c r="F454">
        <v>4</v>
      </c>
      <c r="G454">
        <v>1</v>
      </c>
      <c r="H454">
        <v>311</v>
      </c>
      <c r="I454">
        <v>4</v>
      </c>
      <c r="J454">
        <v>78</v>
      </c>
      <c r="K454">
        <f t="shared" si="49"/>
        <v>5.2</v>
      </c>
      <c r="L454">
        <f t="shared" si="50"/>
        <v>52</v>
      </c>
      <c r="M454">
        <f t="shared" si="51"/>
        <v>80</v>
      </c>
      <c r="N454">
        <f t="shared" si="52"/>
        <v>45</v>
      </c>
      <c r="O454">
        <f t="shared" si="53"/>
        <v>58</v>
      </c>
      <c r="P454" t="str">
        <f t="shared" si="54"/>
        <v>Placement Ready</v>
      </c>
      <c r="Q454" t="str">
        <f t="shared" si="55"/>
        <v>Medium</v>
      </c>
    </row>
    <row r="455" spans="1:17" x14ac:dyDescent="0.3">
      <c r="A455">
        <v>1454</v>
      </c>
      <c r="B455">
        <v>3</v>
      </c>
      <c r="C455">
        <v>7</v>
      </c>
      <c r="D455">
        <v>10</v>
      </c>
      <c r="E455">
        <v>3</v>
      </c>
      <c r="F455">
        <v>1</v>
      </c>
      <c r="G455">
        <v>5</v>
      </c>
      <c r="H455">
        <v>358</v>
      </c>
      <c r="I455">
        <v>0</v>
      </c>
      <c r="J455">
        <v>70</v>
      </c>
      <c r="K455">
        <f t="shared" si="49"/>
        <v>4.8</v>
      </c>
      <c r="L455">
        <f t="shared" si="50"/>
        <v>48</v>
      </c>
      <c r="M455">
        <f t="shared" si="51"/>
        <v>80</v>
      </c>
      <c r="N455">
        <f t="shared" si="52"/>
        <v>25</v>
      </c>
      <c r="O455">
        <f t="shared" si="53"/>
        <v>51</v>
      </c>
      <c r="P455" t="str">
        <f t="shared" si="54"/>
        <v>Needs Improvement</v>
      </c>
      <c r="Q455" t="str">
        <f t="shared" si="55"/>
        <v>Medium</v>
      </c>
    </row>
    <row r="456" spans="1:17" x14ac:dyDescent="0.3">
      <c r="A456">
        <v>1455</v>
      </c>
      <c r="B456">
        <v>2</v>
      </c>
      <c r="C456">
        <v>4</v>
      </c>
      <c r="D456">
        <v>3</v>
      </c>
      <c r="E456">
        <v>9</v>
      </c>
      <c r="F456">
        <v>3</v>
      </c>
      <c r="G456">
        <v>5</v>
      </c>
      <c r="H456">
        <v>122</v>
      </c>
      <c r="I456">
        <v>0</v>
      </c>
      <c r="J456">
        <v>47</v>
      </c>
      <c r="K456">
        <f t="shared" si="49"/>
        <v>4.2</v>
      </c>
      <c r="L456">
        <f t="shared" si="50"/>
        <v>42</v>
      </c>
      <c r="M456">
        <f t="shared" si="51"/>
        <v>40</v>
      </c>
      <c r="N456">
        <f t="shared" si="52"/>
        <v>25</v>
      </c>
      <c r="O456">
        <f t="shared" si="53"/>
        <v>36</v>
      </c>
      <c r="P456" t="str">
        <f t="shared" si="54"/>
        <v>Not Ready</v>
      </c>
      <c r="Q456" t="str">
        <f t="shared" si="55"/>
        <v>Low</v>
      </c>
    </row>
    <row r="457" spans="1:17" x14ac:dyDescent="0.3">
      <c r="A457">
        <v>1456</v>
      </c>
      <c r="B457">
        <v>1</v>
      </c>
      <c r="C457">
        <v>2</v>
      </c>
      <c r="D457">
        <v>1</v>
      </c>
      <c r="E457">
        <v>2</v>
      </c>
      <c r="F457">
        <v>8</v>
      </c>
      <c r="G457">
        <v>0</v>
      </c>
      <c r="H457">
        <v>274</v>
      </c>
      <c r="I457">
        <v>0</v>
      </c>
      <c r="J457">
        <v>69</v>
      </c>
      <c r="K457">
        <f t="shared" si="49"/>
        <v>2.8</v>
      </c>
      <c r="L457">
        <f t="shared" si="50"/>
        <v>28</v>
      </c>
      <c r="M457">
        <f t="shared" si="51"/>
        <v>80</v>
      </c>
      <c r="N457">
        <f t="shared" si="52"/>
        <v>0</v>
      </c>
      <c r="O457">
        <f t="shared" si="53"/>
        <v>35</v>
      </c>
      <c r="P457" t="str">
        <f t="shared" si="54"/>
        <v>Needs Improvement</v>
      </c>
      <c r="Q457" t="str">
        <f t="shared" si="55"/>
        <v>Low</v>
      </c>
    </row>
    <row r="458" spans="1:17" x14ac:dyDescent="0.3">
      <c r="A458">
        <v>1457</v>
      </c>
      <c r="B458">
        <v>6</v>
      </c>
      <c r="C458">
        <v>10</v>
      </c>
      <c r="D458">
        <v>2</v>
      </c>
      <c r="E458">
        <v>8</v>
      </c>
      <c r="F458">
        <v>3</v>
      </c>
      <c r="G458">
        <v>4</v>
      </c>
      <c r="H458">
        <v>62</v>
      </c>
      <c r="I458">
        <v>4</v>
      </c>
      <c r="J458">
        <v>81</v>
      </c>
      <c r="K458">
        <f t="shared" si="49"/>
        <v>5.8</v>
      </c>
      <c r="L458">
        <f t="shared" si="50"/>
        <v>58</v>
      </c>
      <c r="M458">
        <f t="shared" si="51"/>
        <v>40</v>
      </c>
      <c r="N458">
        <f t="shared" si="52"/>
        <v>60</v>
      </c>
      <c r="O458">
        <f t="shared" si="53"/>
        <v>53</v>
      </c>
      <c r="P458" t="str">
        <f t="shared" si="54"/>
        <v>Placement Ready</v>
      </c>
      <c r="Q458" t="str">
        <f t="shared" si="55"/>
        <v>Medium</v>
      </c>
    </row>
    <row r="459" spans="1:17" x14ac:dyDescent="0.3">
      <c r="A459">
        <v>1458</v>
      </c>
      <c r="B459">
        <v>7</v>
      </c>
      <c r="C459">
        <v>6</v>
      </c>
      <c r="D459">
        <v>9</v>
      </c>
      <c r="E459">
        <v>4</v>
      </c>
      <c r="F459">
        <v>9</v>
      </c>
      <c r="G459">
        <v>7</v>
      </c>
      <c r="H459">
        <v>360</v>
      </c>
      <c r="I459">
        <v>2</v>
      </c>
      <c r="J459">
        <v>41</v>
      </c>
      <c r="K459">
        <f t="shared" si="49"/>
        <v>7</v>
      </c>
      <c r="L459">
        <f t="shared" si="50"/>
        <v>70</v>
      </c>
      <c r="M459">
        <f t="shared" si="51"/>
        <v>80</v>
      </c>
      <c r="N459">
        <f t="shared" si="52"/>
        <v>55</v>
      </c>
      <c r="O459">
        <f t="shared" si="53"/>
        <v>69</v>
      </c>
      <c r="P459" t="str">
        <f t="shared" si="54"/>
        <v>Not Ready</v>
      </c>
      <c r="Q459" t="str">
        <f t="shared" si="55"/>
        <v>Medium</v>
      </c>
    </row>
    <row r="460" spans="1:17" x14ac:dyDescent="0.3">
      <c r="A460">
        <v>1459</v>
      </c>
      <c r="B460">
        <v>4</v>
      </c>
      <c r="C460">
        <v>3</v>
      </c>
      <c r="D460">
        <v>5</v>
      </c>
      <c r="E460">
        <v>7</v>
      </c>
      <c r="F460">
        <v>8</v>
      </c>
      <c r="G460">
        <v>8</v>
      </c>
      <c r="H460">
        <v>291</v>
      </c>
      <c r="I460">
        <v>3</v>
      </c>
      <c r="J460">
        <v>66</v>
      </c>
      <c r="K460">
        <f t="shared" si="49"/>
        <v>5.4</v>
      </c>
      <c r="L460">
        <f t="shared" si="50"/>
        <v>54</v>
      </c>
      <c r="M460">
        <f t="shared" si="51"/>
        <v>80</v>
      </c>
      <c r="N460">
        <f t="shared" si="52"/>
        <v>70</v>
      </c>
      <c r="O460">
        <f t="shared" si="53"/>
        <v>67</v>
      </c>
      <c r="P460" t="str">
        <f t="shared" si="54"/>
        <v>Needs Improvement</v>
      </c>
      <c r="Q460" t="str">
        <f t="shared" si="55"/>
        <v>Medium</v>
      </c>
    </row>
    <row r="461" spans="1:17" x14ac:dyDescent="0.3">
      <c r="A461">
        <v>1460</v>
      </c>
      <c r="B461">
        <v>9</v>
      </c>
      <c r="C461">
        <v>6</v>
      </c>
      <c r="D461">
        <v>10</v>
      </c>
      <c r="E461">
        <v>3</v>
      </c>
      <c r="F461">
        <v>3</v>
      </c>
      <c r="G461">
        <v>3</v>
      </c>
      <c r="H461">
        <v>153</v>
      </c>
      <c r="I461">
        <v>3</v>
      </c>
      <c r="J461">
        <v>41</v>
      </c>
      <c r="K461">
        <f t="shared" si="49"/>
        <v>6.2</v>
      </c>
      <c r="L461">
        <f t="shared" si="50"/>
        <v>62</v>
      </c>
      <c r="M461">
        <f t="shared" si="51"/>
        <v>60</v>
      </c>
      <c r="N461">
        <f t="shared" si="52"/>
        <v>45</v>
      </c>
      <c r="O461">
        <f t="shared" si="53"/>
        <v>56</v>
      </c>
      <c r="P461" t="str">
        <f t="shared" si="54"/>
        <v>Not Ready</v>
      </c>
      <c r="Q461" t="str">
        <f t="shared" si="55"/>
        <v>Medium</v>
      </c>
    </row>
    <row r="462" spans="1:17" x14ac:dyDescent="0.3">
      <c r="A462">
        <v>1461</v>
      </c>
      <c r="B462">
        <v>2</v>
      </c>
      <c r="C462">
        <v>10</v>
      </c>
      <c r="D462">
        <v>5</v>
      </c>
      <c r="E462">
        <v>5</v>
      </c>
      <c r="F462">
        <v>1</v>
      </c>
      <c r="G462">
        <v>3</v>
      </c>
      <c r="H462">
        <v>212</v>
      </c>
      <c r="I462">
        <v>2</v>
      </c>
      <c r="J462">
        <v>85</v>
      </c>
      <c r="K462">
        <f t="shared" si="49"/>
        <v>4.5999999999999996</v>
      </c>
      <c r="L462">
        <f t="shared" si="50"/>
        <v>46</v>
      </c>
      <c r="M462">
        <f t="shared" si="51"/>
        <v>60</v>
      </c>
      <c r="N462">
        <f t="shared" si="52"/>
        <v>35</v>
      </c>
      <c r="O462">
        <f t="shared" si="53"/>
        <v>47</v>
      </c>
      <c r="P462" t="str">
        <f t="shared" si="54"/>
        <v>Placement Ready</v>
      </c>
      <c r="Q462" t="str">
        <f t="shared" si="55"/>
        <v>Medium</v>
      </c>
    </row>
    <row r="463" spans="1:17" x14ac:dyDescent="0.3">
      <c r="A463">
        <v>1462</v>
      </c>
      <c r="B463">
        <v>5</v>
      </c>
      <c r="C463">
        <v>1</v>
      </c>
      <c r="D463">
        <v>5</v>
      </c>
      <c r="E463">
        <v>9</v>
      </c>
      <c r="F463">
        <v>2</v>
      </c>
      <c r="G463">
        <v>3</v>
      </c>
      <c r="H463">
        <v>325</v>
      </c>
      <c r="I463">
        <v>4</v>
      </c>
      <c r="J463">
        <v>65</v>
      </c>
      <c r="K463">
        <f t="shared" si="49"/>
        <v>4.4000000000000004</v>
      </c>
      <c r="L463">
        <f t="shared" si="50"/>
        <v>44</v>
      </c>
      <c r="M463">
        <f t="shared" si="51"/>
        <v>80</v>
      </c>
      <c r="N463">
        <f t="shared" si="52"/>
        <v>55</v>
      </c>
      <c r="O463">
        <f t="shared" si="53"/>
        <v>58</v>
      </c>
      <c r="P463" t="str">
        <f t="shared" si="54"/>
        <v>Needs Improvement</v>
      </c>
      <c r="Q463" t="str">
        <f t="shared" si="55"/>
        <v>Medium</v>
      </c>
    </row>
    <row r="464" spans="1:17" x14ac:dyDescent="0.3">
      <c r="A464">
        <v>1463</v>
      </c>
      <c r="B464">
        <v>6</v>
      </c>
      <c r="C464">
        <v>8</v>
      </c>
      <c r="D464">
        <v>1</v>
      </c>
      <c r="E464">
        <v>4</v>
      </c>
      <c r="F464">
        <v>4</v>
      </c>
      <c r="G464">
        <v>6</v>
      </c>
      <c r="H464">
        <v>420</v>
      </c>
      <c r="I464">
        <v>3</v>
      </c>
      <c r="J464">
        <v>94</v>
      </c>
      <c r="K464">
        <f t="shared" si="49"/>
        <v>4.5999999999999996</v>
      </c>
      <c r="L464">
        <f t="shared" si="50"/>
        <v>46</v>
      </c>
      <c r="M464">
        <f t="shared" si="51"/>
        <v>100</v>
      </c>
      <c r="N464">
        <f t="shared" si="52"/>
        <v>60</v>
      </c>
      <c r="O464">
        <f t="shared" si="53"/>
        <v>66</v>
      </c>
      <c r="P464" t="str">
        <f t="shared" si="54"/>
        <v>Placement Ready</v>
      </c>
      <c r="Q464" t="str">
        <f t="shared" si="55"/>
        <v>Medium</v>
      </c>
    </row>
    <row r="465" spans="1:17" x14ac:dyDescent="0.3">
      <c r="A465">
        <v>1464</v>
      </c>
      <c r="B465">
        <v>1</v>
      </c>
      <c r="C465">
        <v>3</v>
      </c>
      <c r="D465">
        <v>7</v>
      </c>
      <c r="E465">
        <v>8</v>
      </c>
      <c r="F465">
        <v>7</v>
      </c>
      <c r="G465">
        <v>7</v>
      </c>
      <c r="H465">
        <v>98</v>
      </c>
      <c r="I465">
        <v>3</v>
      </c>
      <c r="J465">
        <v>65</v>
      </c>
      <c r="K465">
        <f t="shared" si="49"/>
        <v>5.2</v>
      </c>
      <c r="L465">
        <f t="shared" si="50"/>
        <v>52</v>
      </c>
      <c r="M465">
        <f t="shared" si="51"/>
        <v>40</v>
      </c>
      <c r="N465">
        <f t="shared" si="52"/>
        <v>65</v>
      </c>
      <c r="O465">
        <f t="shared" si="53"/>
        <v>52</v>
      </c>
      <c r="P465" t="str">
        <f t="shared" si="54"/>
        <v>Needs Improvement</v>
      </c>
      <c r="Q465" t="str">
        <f t="shared" si="55"/>
        <v>Medium</v>
      </c>
    </row>
    <row r="466" spans="1:17" x14ac:dyDescent="0.3">
      <c r="A466">
        <v>1465</v>
      </c>
      <c r="B466">
        <v>8</v>
      </c>
      <c r="C466">
        <v>5</v>
      </c>
      <c r="D466">
        <v>4</v>
      </c>
      <c r="E466">
        <v>1</v>
      </c>
      <c r="F466">
        <v>7</v>
      </c>
      <c r="G466">
        <v>8</v>
      </c>
      <c r="H466">
        <v>99</v>
      </c>
      <c r="I466">
        <v>2</v>
      </c>
      <c r="J466">
        <v>75</v>
      </c>
      <c r="K466">
        <f t="shared" si="49"/>
        <v>5</v>
      </c>
      <c r="L466">
        <f t="shared" si="50"/>
        <v>50</v>
      </c>
      <c r="M466">
        <f t="shared" si="51"/>
        <v>40</v>
      </c>
      <c r="N466">
        <f t="shared" si="52"/>
        <v>60</v>
      </c>
      <c r="O466">
        <f t="shared" si="53"/>
        <v>50</v>
      </c>
      <c r="P466" t="str">
        <f t="shared" si="54"/>
        <v>Placement Ready</v>
      </c>
      <c r="Q466" t="str">
        <f t="shared" si="55"/>
        <v>Medium</v>
      </c>
    </row>
    <row r="467" spans="1:17" x14ac:dyDescent="0.3">
      <c r="A467">
        <v>1466</v>
      </c>
      <c r="B467">
        <v>1</v>
      </c>
      <c r="C467">
        <v>4</v>
      </c>
      <c r="D467">
        <v>7</v>
      </c>
      <c r="E467">
        <v>7</v>
      </c>
      <c r="F467">
        <v>6</v>
      </c>
      <c r="G467">
        <v>8</v>
      </c>
      <c r="H467">
        <v>189</v>
      </c>
      <c r="I467">
        <v>4</v>
      </c>
      <c r="J467">
        <v>85</v>
      </c>
      <c r="K467">
        <f t="shared" si="49"/>
        <v>5</v>
      </c>
      <c r="L467">
        <f t="shared" si="50"/>
        <v>50</v>
      </c>
      <c r="M467">
        <f t="shared" si="51"/>
        <v>60</v>
      </c>
      <c r="N467">
        <f t="shared" si="52"/>
        <v>80</v>
      </c>
      <c r="O467">
        <f t="shared" si="53"/>
        <v>62</v>
      </c>
      <c r="P467" t="str">
        <f t="shared" si="54"/>
        <v>Placement Ready</v>
      </c>
      <c r="Q467" t="str">
        <f t="shared" si="55"/>
        <v>Medium</v>
      </c>
    </row>
    <row r="468" spans="1:17" x14ac:dyDescent="0.3">
      <c r="A468">
        <v>1467</v>
      </c>
      <c r="B468">
        <v>9</v>
      </c>
      <c r="C468">
        <v>9</v>
      </c>
      <c r="D468">
        <v>7</v>
      </c>
      <c r="E468">
        <v>5</v>
      </c>
      <c r="F468">
        <v>4</v>
      </c>
      <c r="G468">
        <v>2</v>
      </c>
      <c r="H468">
        <v>309</v>
      </c>
      <c r="I468">
        <v>3</v>
      </c>
      <c r="J468">
        <v>79</v>
      </c>
      <c r="K468">
        <f t="shared" si="49"/>
        <v>6.8</v>
      </c>
      <c r="L468">
        <f t="shared" si="50"/>
        <v>68</v>
      </c>
      <c r="M468">
        <f t="shared" si="51"/>
        <v>80</v>
      </c>
      <c r="N468">
        <f t="shared" si="52"/>
        <v>40</v>
      </c>
      <c r="O468">
        <f t="shared" si="53"/>
        <v>63</v>
      </c>
      <c r="P468" t="str">
        <f t="shared" si="54"/>
        <v>Placement Ready</v>
      </c>
      <c r="Q468" t="str">
        <f t="shared" si="55"/>
        <v>Medium</v>
      </c>
    </row>
    <row r="469" spans="1:17" x14ac:dyDescent="0.3">
      <c r="A469">
        <v>1468</v>
      </c>
      <c r="B469">
        <v>8</v>
      </c>
      <c r="C469">
        <v>7</v>
      </c>
      <c r="D469">
        <v>3</v>
      </c>
      <c r="E469">
        <v>5</v>
      </c>
      <c r="F469">
        <v>1</v>
      </c>
      <c r="G469">
        <v>2</v>
      </c>
      <c r="H469">
        <v>368</v>
      </c>
      <c r="I469">
        <v>5</v>
      </c>
      <c r="J469">
        <v>85</v>
      </c>
      <c r="K469">
        <f t="shared" si="49"/>
        <v>4.8</v>
      </c>
      <c r="L469">
        <f t="shared" si="50"/>
        <v>48</v>
      </c>
      <c r="M469">
        <f t="shared" si="51"/>
        <v>80</v>
      </c>
      <c r="N469">
        <f t="shared" si="52"/>
        <v>60</v>
      </c>
      <c r="O469">
        <f t="shared" si="53"/>
        <v>61</v>
      </c>
      <c r="P469" t="str">
        <f t="shared" si="54"/>
        <v>Placement Ready</v>
      </c>
      <c r="Q469" t="str">
        <f t="shared" si="55"/>
        <v>Medium</v>
      </c>
    </row>
    <row r="470" spans="1:17" x14ac:dyDescent="0.3">
      <c r="A470">
        <v>1469</v>
      </c>
      <c r="B470">
        <v>3</v>
      </c>
      <c r="C470">
        <v>2</v>
      </c>
      <c r="D470">
        <v>5</v>
      </c>
      <c r="E470">
        <v>2</v>
      </c>
      <c r="F470">
        <v>8</v>
      </c>
      <c r="G470">
        <v>5</v>
      </c>
      <c r="H470">
        <v>195</v>
      </c>
      <c r="I470">
        <v>3</v>
      </c>
      <c r="J470">
        <v>75</v>
      </c>
      <c r="K470">
        <f t="shared" si="49"/>
        <v>4</v>
      </c>
      <c r="L470">
        <f t="shared" si="50"/>
        <v>40</v>
      </c>
      <c r="M470">
        <f t="shared" si="51"/>
        <v>60</v>
      </c>
      <c r="N470">
        <f t="shared" si="52"/>
        <v>55</v>
      </c>
      <c r="O470">
        <f t="shared" si="53"/>
        <v>51</v>
      </c>
      <c r="P470" t="str">
        <f t="shared" si="54"/>
        <v>Placement Ready</v>
      </c>
      <c r="Q470" t="str">
        <f t="shared" si="55"/>
        <v>Medium</v>
      </c>
    </row>
    <row r="471" spans="1:17" x14ac:dyDescent="0.3">
      <c r="A471">
        <v>1470</v>
      </c>
      <c r="B471">
        <v>3</v>
      </c>
      <c r="C471">
        <v>1</v>
      </c>
      <c r="D471">
        <v>1</v>
      </c>
      <c r="E471">
        <v>5</v>
      </c>
      <c r="F471">
        <v>9</v>
      </c>
      <c r="G471">
        <v>0</v>
      </c>
      <c r="H471">
        <v>70</v>
      </c>
      <c r="I471">
        <v>1</v>
      </c>
      <c r="J471">
        <v>81</v>
      </c>
      <c r="K471">
        <f t="shared" si="49"/>
        <v>3.8</v>
      </c>
      <c r="L471">
        <f t="shared" si="50"/>
        <v>38</v>
      </c>
      <c r="M471">
        <f t="shared" si="51"/>
        <v>40</v>
      </c>
      <c r="N471">
        <f t="shared" si="52"/>
        <v>10</v>
      </c>
      <c r="O471">
        <f t="shared" si="53"/>
        <v>30</v>
      </c>
      <c r="P471" t="str">
        <f t="shared" si="54"/>
        <v>Placement Ready</v>
      </c>
      <c r="Q471" t="str">
        <f t="shared" si="55"/>
        <v>Low</v>
      </c>
    </row>
    <row r="472" spans="1:17" x14ac:dyDescent="0.3">
      <c r="A472">
        <v>1471</v>
      </c>
      <c r="B472">
        <v>1</v>
      </c>
      <c r="C472">
        <v>8</v>
      </c>
      <c r="D472">
        <v>7</v>
      </c>
      <c r="E472">
        <v>10</v>
      </c>
      <c r="F472">
        <v>9</v>
      </c>
      <c r="G472">
        <v>7</v>
      </c>
      <c r="H472">
        <v>495</v>
      </c>
      <c r="I472">
        <v>3</v>
      </c>
      <c r="J472">
        <v>43</v>
      </c>
      <c r="K472">
        <f t="shared" si="49"/>
        <v>7</v>
      </c>
      <c r="L472">
        <f t="shared" si="50"/>
        <v>70</v>
      </c>
      <c r="M472">
        <f t="shared" si="51"/>
        <v>100</v>
      </c>
      <c r="N472">
        <f t="shared" si="52"/>
        <v>65</v>
      </c>
      <c r="O472">
        <f t="shared" si="53"/>
        <v>78</v>
      </c>
      <c r="P472" t="str">
        <f t="shared" si="54"/>
        <v>Not Ready</v>
      </c>
      <c r="Q472" t="str">
        <f t="shared" si="55"/>
        <v>High</v>
      </c>
    </row>
    <row r="473" spans="1:17" x14ac:dyDescent="0.3">
      <c r="A473">
        <v>1472</v>
      </c>
      <c r="B473">
        <v>1</v>
      </c>
      <c r="C473">
        <v>2</v>
      </c>
      <c r="D473">
        <v>1</v>
      </c>
      <c r="E473">
        <v>3</v>
      </c>
      <c r="F473">
        <v>9</v>
      </c>
      <c r="G473">
        <v>8</v>
      </c>
      <c r="H473">
        <v>480</v>
      </c>
      <c r="I473">
        <v>0</v>
      </c>
      <c r="J473">
        <v>40</v>
      </c>
      <c r="K473">
        <f t="shared" si="49"/>
        <v>3.2</v>
      </c>
      <c r="L473">
        <f t="shared" si="50"/>
        <v>32</v>
      </c>
      <c r="M473">
        <f t="shared" si="51"/>
        <v>100</v>
      </c>
      <c r="N473">
        <f t="shared" si="52"/>
        <v>40</v>
      </c>
      <c r="O473">
        <f t="shared" si="53"/>
        <v>55</v>
      </c>
      <c r="P473" t="str">
        <f t="shared" si="54"/>
        <v>Not Ready</v>
      </c>
      <c r="Q473" t="str">
        <f t="shared" si="55"/>
        <v>Medium</v>
      </c>
    </row>
    <row r="474" spans="1:17" x14ac:dyDescent="0.3">
      <c r="A474">
        <v>1473</v>
      </c>
      <c r="B474">
        <v>2</v>
      </c>
      <c r="C474">
        <v>7</v>
      </c>
      <c r="D474">
        <v>10</v>
      </c>
      <c r="E474">
        <v>7</v>
      </c>
      <c r="F474">
        <v>9</v>
      </c>
      <c r="G474">
        <v>5</v>
      </c>
      <c r="H474">
        <v>389</v>
      </c>
      <c r="I474">
        <v>0</v>
      </c>
      <c r="J474">
        <v>87</v>
      </c>
      <c r="K474">
        <f t="shared" si="49"/>
        <v>7</v>
      </c>
      <c r="L474">
        <f t="shared" si="50"/>
        <v>70</v>
      </c>
      <c r="M474">
        <f t="shared" si="51"/>
        <v>80</v>
      </c>
      <c r="N474">
        <f t="shared" si="52"/>
        <v>25</v>
      </c>
      <c r="O474">
        <f t="shared" si="53"/>
        <v>60</v>
      </c>
      <c r="P474" t="str">
        <f t="shared" si="54"/>
        <v>Placement Ready</v>
      </c>
      <c r="Q474" t="str">
        <f t="shared" si="55"/>
        <v>Medium</v>
      </c>
    </row>
    <row r="475" spans="1:17" x14ac:dyDescent="0.3">
      <c r="A475">
        <v>1474</v>
      </c>
      <c r="B475">
        <v>4</v>
      </c>
      <c r="C475">
        <v>9</v>
      </c>
      <c r="D475">
        <v>1</v>
      </c>
      <c r="E475">
        <v>7</v>
      </c>
      <c r="F475">
        <v>7</v>
      </c>
      <c r="G475">
        <v>7</v>
      </c>
      <c r="H475">
        <v>145</v>
      </c>
      <c r="I475">
        <v>4</v>
      </c>
      <c r="J475">
        <v>61</v>
      </c>
      <c r="K475">
        <f t="shared" si="49"/>
        <v>5.6</v>
      </c>
      <c r="L475">
        <f t="shared" si="50"/>
        <v>56</v>
      </c>
      <c r="M475">
        <f t="shared" si="51"/>
        <v>40</v>
      </c>
      <c r="N475">
        <f t="shared" si="52"/>
        <v>75</v>
      </c>
      <c r="O475">
        <f t="shared" si="53"/>
        <v>57</v>
      </c>
      <c r="P475" t="str">
        <f t="shared" si="54"/>
        <v>Needs Improvement</v>
      </c>
      <c r="Q475" t="str">
        <f t="shared" si="55"/>
        <v>Medium</v>
      </c>
    </row>
    <row r="476" spans="1:17" x14ac:dyDescent="0.3">
      <c r="A476">
        <v>1475</v>
      </c>
      <c r="B476">
        <v>7</v>
      </c>
      <c r="C476">
        <v>5</v>
      </c>
      <c r="D476">
        <v>10</v>
      </c>
      <c r="E476">
        <v>5</v>
      </c>
      <c r="F476">
        <v>4</v>
      </c>
      <c r="G476">
        <v>4</v>
      </c>
      <c r="H476">
        <v>434</v>
      </c>
      <c r="I476">
        <v>3</v>
      </c>
      <c r="J476">
        <v>54</v>
      </c>
      <c r="K476">
        <f t="shared" si="49"/>
        <v>6.2</v>
      </c>
      <c r="L476">
        <f t="shared" si="50"/>
        <v>62</v>
      </c>
      <c r="M476">
        <f t="shared" si="51"/>
        <v>100</v>
      </c>
      <c r="N476">
        <f t="shared" si="52"/>
        <v>50</v>
      </c>
      <c r="O476">
        <f t="shared" si="53"/>
        <v>70</v>
      </c>
      <c r="P476" t="str">
        <f t="shared" si="54"/>
        <v>Needs Improvement</v>
      </c>
      <c r="Q476" t="str">
        <f t="shared" si="55"/>
        <v>Medium</v>
      </c>
    </row>
    <row r="477" spans="1:17" x14ac:dyDescent="0.3">
      <c r="A477">
        <v>1476</v>
      </c>
      <c r="B477">
        <v>9</v>
      </c>
      <c r="C477">
        <v>1</v>
      </c>
      <c r="D477">
        <v>6</v>
      </c>
      <c r="E477">
        <v>4</v>
      </c>
      <c r="F477">
        <v>1</v>
      </c>
      <c r="G477">
        <v>6</v>
      </c>
      <c r="H477">
        <v>347</v>
      </c>
      <c r="I477">
        <v>3</v>
      </c>
      <c r="J477">
        <v>45</v>
      </c>
      <c r="K477">
        <f t="shared" si="49"/>
        <v>4.2</v>
      </c>
      <c r="L477">
        <f t="shared" si="50"/>
        <v>42</v>
      </c>
      <c r="M477">
        <f t="shared" si="51"/>
        <v>80</v>
      </c>
      <c r="N477">
        <f t="shared" si="52"/>
        <v>60</v>
      </c>
      <c r="O477">
        <f t="shared" si="53"/>
        <v>59</v>
      </c>
      <c r="P477" t="str">
        <f t="shared" si="54"/>
        <v>Not Ready</v>
      </c>
      <c r="Q477" t="str">
        <f t="shared" si="55"/>
        <v>Medium</v>
      </c>
    </row>
    <row r="478" spans="1:17" x14ac:dyDescent="0.3">
      <c r="A478">
        <v>1477</v>
      </c>
      <c r="B478">
        <v>9</v>
      </c>
      <c r="C478">
        <v>4</v>
      </c>
      <c r="D478">
        <v>6</v>
      </c>
      <c r="E478">
        <v>3</v>
      </c>
      <c r="F478">
        <v>7</v>
      </c>
      <c r="G478">
        <v>7</v>
      </c>
      <c r="H478">
        <v>125</v>
      </c>
      <c r="I478">
        <v>1</v>
      </c>
      <c r="J478">
        <v>80</v>
      </c>
      <c r="K478">
        <f t="shared" si="49"/>
        <v>5.8</v>
      </c>
      <c r="L478">
        <f t="shared" si="50"/>
        <v>58</v>
      </c>
      <c r="M478">
        <f t="shared" si="51"/>
        <v>40</v>
      </c>
      <c r="N478">
        <f t="shared" si="52"/>
        <v>45</v>
      </c>
      <c r="O478">
        <f t="shared" si="53"/>
        <v>49</v>
      </c>
      <c r="P478" t="str">
        <f t="shared" si="54"/>
        <v>Placement Ready</v>
      </c>
      <c r="Q478" t="str">
        <f t="shared" si="55"/>
        <v>Medium</v>
      </c>
    </row>
    <row r="479" spans="1:17" x14ac:dyDescent="0.3">
      <c r="A479">
        <v>1478</v>
      </c>
      <c r="B479">
        <v>1</v>
      </c>
      <c r="C479">
        <v>7</v>
      </c>
      <c r="D479">
        <v>9</v>
      </c>
      <c r="E479">
        <v>4</v>
      </c>
      <c r="F479">
        <v>3</v>
      </c>
      <c r="G479">
        <v>8</v>
      </c>
      <c r="H479">
        <v>254</v>
      </c>
      <c r="I479">
        <v>2</v>
      </c>
      <c r="J479">
        <v>78</v>
      </c>
      <c r="K479">
        <f t="shared" si="49"/>
        <v>4.8</v>
      </c>
      <c r="L479">
        <f t="shared" si="50"/>
        <v>48</v>
      </c>
      <c r="M479">
        <f t="shared" si="51"/>
        <v>80</v>
      </c>
      <c r="N479">
        <f t="shared" si="52"/>
        <v>60</v>
      </c>
      <c r="O479">
        <f t="shared" si="53"/>
        <v>61</v>
      </c>
      <c r="P479" t="str">
        <f t="shared" si="54"/>
        <v>Placement Ready</v>
      </c>
      <c r="Q479" t="str">
        <f t="shared" si="55"/>
        <v>Medium</v>
      </c>
    </row>
    <row r="480" spans="1:17" x14ac:dyDescent="0.3">
      <c r="A480">
        <v>1479</v>
      </c>
      <c r="B480">
        <v>3</v>
      </c>
      <c r="C480">
        <v>3</v>
      </c>
      <c r="D480">
        <v>10</v>
      </c>
      <c r="E480">
        <v>1</v>
      </c>
      <c r="F480">
        <v>7</v>
      </c>
      <c r="G480">
        <v>8</v>
      </c>
      <c r="H480">
        <v>397</v>
      </c>
      <c r="I480">
        <v>5</v>
      </c>
      <c r="J480">
        <v>49</v>
      </c>
      <c r="K480">
        <f t="shared" si="49"/>
        <v>4.8</v>
      </c>
      <c r="L480">
        <f t="shared" si="50"/>
        <v>48</v>
      </c>
      <c r="M480">
        <f t="shared" si="51"/>
        <v>80</v>
      </c>
      <c r="N480">
        <f t="shared" si="52"/>
        <v>90</v>
      </c>
      <c r="O480">
        <f t="shared" si="53"/>
        <v>70</v>
      </c>
      <c r="P480" t="str">
        <f t="shared" si="54"/>
        <v>Not Ready</v>
      </c>
      <c r="Q480" t="str">
        <f t="shared" si="55"/>
        <v>Medium</v>
      </c>
    </row>
    <row r="481" spans="1:17" x14ac:dyDescent="0.3">
      <c r="A481">
        <v>1480</v>
      </c>
      <c r="B481">
        <v>4</v>
      </c>
      <c r="C481">
        <v>3</v>
      </c>
      <c r="D481">
        <v>1</v>
      </c>
      <c r="E481">
        <v>6</v>
      </c>
      <c r="F481">
        <v>7</v>
      </c>
      <c r="G481">
        <v>3</v>
      </c>
      <c r="H481">
        <v>307</v>
      </c>
      <c r="I481">
        <v>0</v>
      </c>
      <c r="J481">
        <v>40</v>
      </c>
      <c r="K481">
        <f t="shared" si="49"/>
        <v>4.2</v>
      </c>
      <c r="L481">
        <f t="shared" si="50"/>
        <v>42</v>
      </c>
      <c r="M481">
        <f t="shared" si="51"/>
        <v>80</v>
      </c>
      <c r="N481">
        <f t="shared" si="52"/>
        <v>15</v>
      </c>
      <c r="O481">
        <f t="shared" si="53"/>
        <v>45</v>
      </c>
      <c r="P481" t="str">
        <f t="shared" si="54"/>
        <v>Not Ready</v>
      </c>
      <c r="Q481" t="str">
        <f t="shared" si="55"/>
        <v>Medium</v>
      </c>
    </row>
    <row r="482" spans="1:17" x14ac:dyDescent="0.3">
      <c r="A482">
        <v>1481</v>
      </c>
      <c r="B482">
        <v>5</v>
      </c>
      <c r="C482">
        <v>10</v>
      </c>
      <c r="D482">
        <v>7</v>
      </c>
      <c r="E482">
        <v>8</v>
      </c>
      <c r="F482">
        <v>5</v>
      </c>
      <c r="G482">
        <v>5</v>
      </c>
      <c r="H482">
        <v>192</v>
      </c>
      <c r="I482">
        <v>5</v>
      </c>
      <c r="J482">
        <v>60</v>
      </c>
      <c r="K482">
        <f t="shared" si="49"/>
        <v>7</v>
      </c>
      <c r="L482">
        <f t="shared" si="50"/>
        <v>70</v>
      </c>
      <c r="M482">
        <f t="shared" si="51"/>
        <v>60</v>
      </c>
      <c r="N482">
        <f t="shared" si="52"/>
        <v>75</v>
      </c>
      <c r="O482">
        <f t="shared" si="53"/>
        <v>69</v>
      </c>
      <c r="P482" t="str">
        <f t="shared" si="54"/>
        <v>Needs Improvement</v>
      </c>
      <c r="Q482" t="str">
        <f t="shared" si="55"/>
        <v>Medium</v>
      </c>
    </row>
    <row r="483" spans="1:17" x14ac:dyDescent="0.3">
      <c r="A483">
        <v>1482</v>
      </c>
      <c r="B483">
        <v>1</v>
      </c>
      <c r="C483">
        <v>5</v>
      </c>
      <c r="D483">
        <v>8</v>
      </c>
      <c r="E483">
        <v>6</v>
      </c>
      <c r="F483">
        <v>8</v>
      </c>
      <c r="G483">
        <v>4</v>
      </c>
      <c r="H483">
        <v>249</v>
      </c>
      <c r="I483">
        <v>0</v>
      </c>
      <c r="J483">
        <v>70</v>
      </c>
      <c r="K483">
        <f t="shared" si="49"/>
        <v>5.6</v>
      </c>
      <c r="L483">
        <f t="shared" si="50"/>
        <v>56</v>
      </c>
      <c r="M483">
        <f t="shared" si="51"/>
        <v>60</v>
      </c>
      <c r="N483">
        <f t="shared" si="52"/>
        <v>20</v>
      </c>
      <c r="O483">
        <f t="shared" si="53"/>
        <v>46</v>
      </c>
      <c r="P483" t="str">
        <f t="shared" si="54"/>
        <v>Needs Improvement</v>
      </c>
      <c r="Q483" t="str">
        <f t="shared" si="55"/>
        <v>Medium</v>
      </c>
    </row>
    <row r="484" spans="1:17" x14ac:dyDescent="0.3">
      <c r="A484">
        <v>1483</v>
      </c>
      <c r="B484">
        <v>7</v>
      </c>
      <c r="C484">
        <v>8</v>
      </c>
      <c r="D484">
        <v>10</v>
      </c>
      <c r="E484">
        <v>1</v>
      </c>
      <c r="F484">
        <v>3</v>
      </c>
      <c r="G484">
        <v>1</v>
      </c>
      <c r="H484">
        <v>190</v>
      </c>
      <c r="I484">
        <v>2</v>
      </c>
      <c r="J484">
        <v>93</v>
      </c>
      <c r="K484">
        <f t="shared" si="49"/>
        <v>5.8</v>
      </c>
      <c r="L484">
        <f t="shared" si="50"/>
        <v>58</v>
      </c>
      <c r="M484">
        <f t="shared" si="51"/>
        <v>60</v>
      </c>
      <c r="N484">
        <f t="shared" si="52"/>
        <v>25</v>
      </c>
      <c r="O484">
        <f t="shared" si="53"/>
        <v>49</v>
      </c>
      <c r="P484" t="str">
        <f t="shared" si="54"/>
        <v>Placement Ready</v>
      </c>
      <c r="Q484" t="str">
        <f t="shared" si="55"/>
        <v>Medium</v>
      </c>
    </row>
    <row r="485" spans="1:17" x14ac:dyDescent="0.3">
      <c r="A485">
        <v>1484</v>
      </c>
      <c r="B485">
        <v>2</v>
      </c>
      <c r="C485">
        <v>3</v>
      </c>
      <c r="D485">
        <v>7</v>
      </c>
      <c r="E485">
        <v>5</v>
      </c>
      <c r="F485">
        <v>10</v>
      </c>
      <c r="G485">
        <v>2</v>
      </c>
      <c r="H485">
        <v>379</v>
      </c>
      <c r="I485">
        <v>5</v>
      </c>
      <c r="J485">
        <v>56</v>
      </c>
      <c r="K485">
        <f t="shared" si="49"/>
        <v>5.4</v>
      </c>
      <c r="L485">
        <f t="shared" si="50"/>
        <v>54</v>
      </c>
      <c r="M485">
        <f t="shared" si="51"/>
        <v>80</v>
      </c>
      <c r="N485">
        <f t="shared" si="52"/>
        <v>60</v>
      </c>
      <c r="O485">
        <f t="shared" si="53"/>
        <v>64</v>
      </c>
      <c r="P485" t="str">
        <f t="shared" si="54"/>
        <v>Needs Improvement</v>
      </c>
      <c r="Q485" t="str">
        <f t="shared" si="55"/>
        <v>Medium</v>
      </c>
    </row>
    <row r="486" spans="1:17" x14ac:dyDescent="0.3">
      <c r="A486">
        <v>1485</v>
      </c>
      <c r="B486">
        <v>6</v>
      </c>
      <c r="C486">
        <v>1</v>
      </c>
      <c r="D486">
        <v>9</v>
      </c>
      <c r="E486">
        <v>1</v>
      </c>
      <c r="F486">
        <v>9</v>
      </c>
      <c r="G486">
        <v>5</v>
      </c>
      <c r="H486">
        <v>475</v>
      </c>
      <c r="I486">
        <v>5</v>
      </c>
      <c r="J486">
        <v>55</v>
      </c>
      <c r="K486">
        <f t="shared" si="49"/>
        <v>5.2</v>
      </c>
      <c r="L486">
        <f t="shared" si="50"/>
        <v>52</v>
      </c>
      <c r="M486">
        <f t="shared" si="51"/>
        <v>100</v>
      </c>
      <c r="N486">
        <f t="shared" si="52"/>
        <v>75</v>
      </c>
      <c r="O486">
        <f t="shared" si="53"/>
        <v>73</v>
      </c>
      <c r="P486" t="str">
        <f t="shared" si="54"/>
        <v>Needs Improvement</v>
      </c>
      <c r="Q486" t="str">
        <f t="shared" si="55"/>
        <v>High</v>
      </c>
    </row>
    <row r="487" spans="1:17" x14ac:dyDescent="0.3">
      <c r="A487">
        <v>1486</v>
      </c>
      <c r="B487">
        <v>2</v>
      </c>
      <c r="C487">
        <v>2</v>
      </c>
      <c r="D487">
        <v>1</v>
      </c>
      <c r="E487">
        <v>9</v>
      </c>
      <c r="F487">
        <v>5</v>
      </c>
      <c r="G487">
        <v>5</v>
      </c>
      <c r="H487">
        <v>328</v>
      </c>
      <c r="I487">
        <v>2</v>
      </c>
      <c r="J487">
        <v>55</v>
      </c>
      <c r="K487">
        <f t="shared" si="49"/>
        <v>3.8</v>
      </c>
      <c r="L487">
        <f t="shared" si="50"/>
        <v>38</v>
      </c>
      <c r="M487">
        <f t="shared" si="51"/>
        <v>80</v>
      </c>
      <c r="N487">
        <f t="shared" si="52"/>
        <v>45</v>
      </c>
      <c r="O487">
        <f t="shared" si="53"/>
        <v>53</v>
      </c>
      <c r="P487" t="str">
        <f t="shared" si="54"/>
        <v>Needs Improvement</v>
      </c>
      <c r="Q487" t="str">
        <f t="shared" si="55"/>
        <v>Medium</v>
      </c>
    </row>
    <row r="488" spans="1:17" x14ac:dyDescent="0.3">
      <c r="A488">
        <v>1487</v>
      </c>
      <c r="B488">
        <v>4</v>
      </c>
      <c r="C488">
        <v>5</v>
      </c>
      <c r="D488">
        <v>9</v>
      </c>
      <c r="E488">
        <v>6</v>
      </c>
      <c r="F488">
        <v>1</v>
      </c>
      <c r="G488">
        <v>0</v>
      </c>
      <c r="H488">
        <v>196</v>
      </c>
      <c r="I488">
        <v>5</v>
      </c>
      <c r="J488">
        <v>42</v>
      </c>
      <c r="K488">
        <f t="shared" si="49"/>
        <v>5</v>
      </c>
      <c r="L488">
        <f t="shared" si="50"/>
        <v>50</v>
      </c>
      <c r="M488">
        <f t="shared" si="51"/>
        <v>60</v>
      </c>
      <c r="N488">
        <f t="shared" si="52"/>
        <v>50</v>
      </c>
      <c r="O488">
        <f t="shared" si="53"/>
        <v>53</v>
      </c>
      <c r="P488" t="str">
        <f t="shared" si="54"/>
        <v>Not Ready</v>
      </c>
      <c r="Q488" t="str">
        <f t="shared" si="55"/>
        <v>Medium</v>
      </c>
    </row>
    <row r="489" spans="1:17" x14ac:dyDescent="0.3">
      <c r="A489">
        <v>1488</v>
      </c>
      <c r="B489">
        <v>4</v>
      </c>
      <c r="C489">
        <v>8</v>
      </c>
      <c r="D489">
        <v>7</v>
      </c>
      <c r="E489">
        <v>4</v>
      </c>
      <c r="F489">
        <v>5</v>
      </c>
      <c r="G489">
        <v>2</v>
      </c>
      <c r="H489">
        <v>489</v>
      </c>
      <c r="I489">
        <v>0</v>
      </c>
      <c r="J489">
        <v>67</v>
      </c>
      <c r="K489">
        <f t="shared" si="49"/>
        <v>5.6</v>
      </c>
      <c r="L489">
        <f t="shared" si="50"/>
        <v>56</v>
      </c>
      <c r="M489">
        <f t="shared" si="51"/>
        <v>100</v>
      </c>
      <c r="N489">
        <f t="shared" si="52"/>
        <v>10</v>
      </c>
      <c r="O489">
        <f t="shared" si="53"/>
        <v>55</v>
      </c>
      <c r="P489" t="str">
        <f t="shared" si="54"/>
        <v>Needs Improvement</v>
      </c>
      <c r="Q489" t="str">
        <f t="shared" si="55"/>
        <v>Medium</v>
      </c>
    </row>
    <row r="490" spans="1:17" x14ac:dyDescent="0.3">
      <c r="A490">
        <v>1489</v>
      </c>
      <c r="B490">
        <v>10</v>
      </c>
      <c r="C490">
        <v>5</v>
      </c>
      <c r="D490">
        <v>4</v>
      </c>
      <c r="E490">
        <v>10</v>
      </c>
      <c r="F490">
        <v>10</v>
      </c>
      <c r="G490">
        <v>8</v>
      </c>
      <c r="H490">
        <v>154</v>
      </c>
      <c r="I490">
        <v>2</v>
      </c>
      <c r="J490">
        <v>95</v>
      </c>
      <c r="K490">
        <f t="shared" si="49"/>
        <v>7.8</v>
      </c>
      <c r="L490">
        <f t="shared" si="50"/>
        <v>78</v>
      </c>
      <c r="M490">
        <f t="shared" si="51"/>
        <v>60</v>
      </c>
      <c r="N490">
        <f t="shared" si="52"/>
        <v>60</v>
      </c>
      <c r="O490">
        <f t="shared" si="53"/>
        <v>67</v>
      </c>
      <c r="P490" t="str">
        <f t="shared" si="54"/>
        <v>Placement Ready</v>
      </c>
      <c r="Q490" t="str">
        <f t="shared" si="55"/>
        <v>Medium</v>
      </c>
    </row>
    <row r="491" spans="1:17" x14ac:dyDescent="0.3">
      <c r="A491">
        <v>1490</v>
      </c>
      <c r="B491">
        <v>4</v>
      </c>
      <c r="C491">
        <v>8</v>
      </c>
      <c r="D491">
        <v>9</v>
      </c>
      <c r="E491">
        <v>4</v>
      </c>
      <c r="F491">
        <v>2</v>
      </c>
      <c r="G491">
        <v>5</v>
      </c>
      <c r="H491">
        <v>226</v>
      </c>
      <c r="I491">
        <v>2</v>
      </c>
      <c r="J491">
        <v>82</v>
      </c>
      <c r="K491">
        <f t="shared" si="49"/>
        <v>5.4</v>
      </c>
      <c r="L491">
        <f t="shared" si="50"/>
        <v>54</v>
      </c>
      <c r="M491">
        <f t="shared" si="51"/>
        <v>60</v>
      </c>
      <c r="N491">
        <f t="shared" si="52"/>
        <v>45</v>
      </c>
      <c r="O491">
        <f t="shared" si="53"/>
        <v>53</v>
      </c>
      <c r="P491" t="str">
        <f t="shared" si="54"/>
        <v>Placement Ready</v>
      </c>
      <c r="Q491" t="str">
        <f t="shared" si="55"/>
        <v>Medium</v>
      </c>
    </row>
    <row r="492" spans="1:17" x14ac:dyDescent="0.3">
      <c r="A492">
        <v>1491</v>
      </c>
      <c r="B492">
        <v>2</v>
      </c>
      <c r="C492">
        <v>10</v>
      </c>
      <c r="D492">
        <v>3</v>
      </c>
      <c r="E492">
        <v>5</v>
      </c>
      <c r="F492">
        <v>2</v>
      </c>
      <c r="G492">
        <v>3</v>
      </c>
      <c r="H492">
        <v>356</v>
      </c>
      <c r="I492">
        <v>5</v>
      </c>
      <c r="J492">
        <v>67</v>
      </c>
      <c r="K492">
        <f t="shared" si="49"/>
        <v>4.4000000000000004</v>
      </c>
      <c r="L492">
        <f t="shared" si="50"/>
        <v>44</v>
      </c>
      <c r="M492">
        <f t="shared" si="51"/>
        <v>80</v>
      </c>
      <c r="N492">
        <f t="shared" si="52"/>
        <v>65</v>
      </c>
      <c r="O492">
        <f t="shared" si="53"/>
        <v>61</v>
      </c>
      <c r="P492" t="str">
        <f t="shared" si="54"/>
        <v>Needs Improvement</v>
      </c>
      <c r="Q492" t="str">
        <f t="shared" si="55"/>
        <v>Medium</v>
      </c>
    </row>
    <row r="493" spans="1:17" x14ac:dyDescent="0.3">
      <c r="A493">
        <v>1492</v>
      </c>
      <c r="B493">
        <v>3</v>
      </c>
      <c r="C493">
        <v>2</v>
      </c>
      <c r="D493">
        <v>9</v>
      </c>
      <c r="E493">
        <v>9</v>
      </c>
      <c r="F493">
        <v>3</v>
      </c>
      <c r="G493">
        <v>3</v>
      </c>
      <c r="H493">
        <v>104</v>
      </c>
      <c r="I493">
        <v>1</v>
      </c>
      <c r="J493">
        <v>68</v>
      </c>
      <c r="K493">
        <f t="shared" si="49"/>
        <v>5.2</v>
      </c>
      <c r="L493">
        <f t="shared" si="50"/>
        <v>52</v>
      </c>
      <c r="M493">
        <f t="shared" si="51"/>
        <v>40</v>
      </c>
      <c r="N493">
        <f t="shared" si="52"/>
        <v>25</v>
      </c>
      <c r="O493">
        <f t="shared" si="53"/>
        <v>40</v>
      </c>
      <c r="P493" t="str">
        <f t="shared" si="54"/>
        <v>Needs Improvement</v>
      </c>
      <c r="Q493" t="str">
        <f t="shared" si="55"/>
        <v>Medium</v>
      </c>
    </row>
    <row r="494" spans="1:17" x14ac:dyDescent="0.3">
      <c r="A494">
        <v>1493</v>
      </c>
      <c r="B494">
        <v>5</v>
      </c>
      <c r="C494">
        <v>9</v>
      </c>
      <c r="D494">
        <v>8</v>
      </c>
      <c r="E494">
        <v>4</v>
      </c>
      <c r="F494">
        <v>6</v>
      </c>
      <c r="G494">
        <v>6</v>
      </c>
      <c r="H494">
        <v>304</v>
      </c>
      <c r="I494">
        <v>4</v>
      </c>
      <c r="J494">
        <v>81</v>
      </c>
      <c r="K494">
        <f t="shared" si="49"/>
        <v>6.4</v>
      </c>
      <c r="L494">
        <f t="shared" si="50"/>
        <v>64</v>
      </c>
      <c r="M494">
        <f t="shared" si="51"/>
        <v>80</v>
      </c>
      <c r="N494">
        <f t="shared" si="52"/>
        <v>70</v>
      </c>
      <c r="O494">
        <f t="shared" si="53"/>
        <v>71</v>
      </c>
      <c r="P494" t="str">
        <f t="shared" si="54"/>
        <v>Placement Ready</v>
      </c>
      <c r="Q494" t="str">
        <f t="shared" si="55"/>
        <v>High</v>
      </c>
    </row>
    <row r="495" spans="1:17" x14ac:dyDescent="0.3">
      <c r="A495">
        <v>1494</v>
      </c>
      <c r="B495">
        <v>8</v>
      </c>
      <c r="C495">
        <v>7</v>
      </c>
      <c r="D495">
        <v>6</v>
      </c>
      <c r="E495">
        <v>4</v>
      </c>
      <c r="F495">
        <v>6</v>
      </c>
      <c r="G495">
        <v>7</v>
      </c>
      <c r="H495">
        <v>499</v>
      </c>
      <c r="I495">
        <v>2</v>
      </c>
      <c r="J495">
        <v>57</v>
      </c>
      <c r="K495">
        <f t="shared" si="49"/>
        <v>6.2</v>
      </c>
      <c r="L495">
        <f t="shared" si="50"/>
        <v>62</v>
      </c>
      <c r="M495">
        <f t="shared" si="51"/>
        <v>100</v>
      </c>
      <c r="N495">
        <f t="shared" si="52"/>
        <v>55</v>
      </c>
      <c r="O495">
        <f t="shared" si="53"/>
        <v>71</v>
      </c>
      <c r="P495" t="str">
        <f t="shared" si="54"/>
        <v>Needs Improvement</v>
      </c>
      <c r="Q495" t="str">
        <f t="shared" si="55"/>
        <v>High</v>
      </c>
    </row>
    <row r="496" spans="1:17" x14ac:dyDescent="0.3">
      <c r="A496">
        <v>1495</v>
      </c>
      <c r="B496">
        <v>1</v>
      </c>
      <c r="C496">
        <v>2</v>
      </c>
      <c r="D496">
        <v>1</v>
      </c>
      <c r="E496">
        <v>4</v>
      </c>
      <c r="F496">
        <v>9</v>
      </c>
      <c r="G496">
        <v>5</v>
      </c>
      <c r="H496">
        <v>435</v>
      </c>
      <c r="I496">
        <v>2</v>
      </c>
      <c r="J496">
        <v>92</v>
      </c>
      <c r="K496">
        <f t="shared" si="49"/>
        <v>3.4</v>
      </c>
      <c r="L496">
        <f t="shared" si="50"/>
        <v>34</v>
      </c>
      <c r="M496">
        <f t="shared" si="51"/>
        <v>100</v>
      </c>
      <c r="N496">
        <f t="shared" si="52"/>
        <v>45</v>
      </c>
      <c r="O496">
        <f t="shared" si="53"/>
        <v>57</v>
      </c>
      <c r="P496" t="str">
        <f t="shared" si="54"/>
        <v>Placement Ready</v>
      </c>
      <c r="Q496" t="str">
        <f t="shared" si="55"/>
        <v>Medium</v>
      </c>
    </row>
    <row r="497" spans="1:17" x14ac:dyDescent="0.3">
      <c r="A497">
        <v>1496</v>
      </c>
      <c r="B497">
        <v>3</v>
      </c>
      <c r="C497">
        <v>3</v>
      </c>
      <c r="D497">
        <v>6</v>
      </c>
      <c r="E497">
        <v>5</v>
      </c>
      <c r="F497">
        <v>3</v>
      </c>
      <c r="G497">
        <v>5</v>
      </c>
      <c r="H497">
        <v>56</v>
      </c>
      <c r="I497">
        <v>2</v>
      </c>
      <c r="J497">
        <v>57</v>
      </c>
      <c r="K497">
        <f t="shared" si="49"/>
        <v>4</v>
      </c>
      <c r="L497">
        <f t="shared" si="50"/>
        <v>40</v>
      </c>
      <c r="M497">
        <f t="shared" si="51"/>
        <v>40</v>
      </c>
      <c r="N497">
        <f t="shared" si="52"/>
        <v>45</v>
      </c>
      <c r="O497">
        <f t="shared" si="53"/>
        <v>42</v>
      </c>
      <c r="P497" t="str">
        <f t="shared" si="54"/>
        <v>Needs Improvement</v>
      </c>
      <c r="Q497" t="str">
        <f t="shared" si="55"/>
        <v>Medium</v>
      </c>
    </row>
    <row r="498" spans="1:17" x14ac:dyDescent="0.3">
      <c r="A498">
        <v>1497</v>
      </c>
      <c r="B498">
        <v>5</v>
      </c>
      <c r="C498">
        <v>4</v>
      </c>
      <c r="D498">
        <v>4</v>
      </c>
      <c r="E498">
        <v>4</v>
      </c>
      <c r="F498">
        <v>10</v>
      </c>
      <c r="G498">
        <v>8</v>
      </c>
      <c r="H498">
        <v>366</v>
      </c>
      <c r="I498">
        <v>1</v>
      </c>
      <c r="J498">
        <v>45</v>
      </c>
      <c r="K498">
        <f t="shared" si="49"/>
        <v>5.4</v>
      </c>
      <c r="L498">
        <f t="shared" si="50"/>
        <v>54</v>
      </c>
      <c r="M498">
        <f t="shared" si="51"/>
        <v>80</v>
      </c>
      <c r="N498">
        <f t="shared" si="52"/>
        <v>50</v>
      </c>
      <c r="O498">
        <f t="shared" si="53"/>
        <v>61</v>
      </c>
      <c r="P498" t="str">
        <f t="shared" si="54"/>
        <v>Not Ready</v>
      </c>
      <c r="Q498" t="str">
        <f t="shared" si="55"/>
        <v>Medium</v>
      </c>
    </row>
    <row r="499" spans="1:17" x14ac:dyDescent="0.3">
      <c r="A499">
        <v>1498</v>
      </c>
      <c r="B499">
        <v>9</v>
      </c>
      <c r="C499">
        <v>7</v>
      </c>
      <c r="D499">
        <v>4</v>
      </c>
      <c r="E499">
        <v>2</v>
      </c>
      <c r="F499">
        <v>8</v>
      </c>
      <c r="G499">
        <v>8</v>
      </c>
      <c r="H499">
        <v>464</v>
      </c>
      <c r="I499">
        <v>2</v>
      </c>
      <c r="J499">
        <v>55</v>
      </c>
      <c r="K499">
        <f t="shared" si="49"/>
        <v>6</v>
      </c>
      <c r="L499">
        <f t="shared" si="50"/>
        <v>60</v>
      </c>
      <c r="M499">
        <f t="shared" si="51"/>
        <v>100</v>
      </c>
      <c r="N499">
        <f t="shared" si="52"/>
        <v>60</v>
      </c>
      <c r="O499">
        <f t="shared" si="53"/>
        <v>72</v>
      </c>
      <c r="P499" t="str">
        <f t="shared" si="54"/>
        <v>Needs Improvement</v>
      </c>
      <c r="Q499" t="str">
        <f t="shared" si="55"/>
        <v>High</v>
      </c>
    </row>
    <row r="500" spans="1:17" x14ac:dyDescent="0.3">
      <c r="A500">
        <v>1499</v>
      </c>
      <c r="B500">
        <v>4</v>
      </c>
      <c r="C500">
        <v>2</v>
      </c>
      <c r="D500">
        <v>6</v>
      </c>
      <c r="E500">
        <v>9</v>
      </c>
      <c r="F500">
        <v>4</v>
      </c>
      <c r="G500">
        <v>3</v>
      </c>
      <c r="H500">
        <v>477</v>
      </c>
      <c r="I500">
        <v>5</v>
      </c>
      <c r="J500">
        <v>79</v>
      </c>
      <c r="K500">
        <f t="shared" si="49"/>
        <v>5</v>
      </c>
      <c r="L500">
        <f t="shared" si="50"/>
        <v>50</v>
      </c>
      <c r="M500">
        <f t="shared" si="51"/>
        <v>100</v>
      </c>
      <c r="N500">
        <f t="shared" si="52"/>
        <v>65</v>
      </c>
      <c r="O500">
        <f t="shared" si="53"/>
        <v>70</v>
      </c>
      <c r="P500" t="str">
        <f t="shared" si="54"/>
        <v>Placement Ready</v>
      </c>
      <c r="Q500" t="str">
        <f t="shared" si="55"/>
        <v>Medium</v>
      </c>
    </row>
    <row r="501" spans="1:17" x14ac:dyDescent="0.3">
      <c r="A501">
        <v>1500</v>
      </c>
      <c r="B501">
        <v>4</v>
      </c>
      <c r="C501">
        <v>5</v>
      </c>
      <c r="D501">
        <v>5</v>
      </c>
      <c r="E501">
        <v>7</v>
      </c>
      <c r="F501">
        <v>5</v>
      </c>
      <c r="G501">
        <v>5</v>
      </c>
      <c r="H501">
        <v>132</v>
      </c>
      <c r="I501">
        <v>1</v>
      </c>
      <c r="J501">
        <v>80</v>
      </c>
      <c r="K501">
        <f t="shared" si="49"/>
        <v>5.2</v>
      </c>
      <c r="L501">
        <f t="shared" si="50"/>
        <v>52</v>
      </c>
      <c r="M501">
        <f t="shared" si="51"/>
        <v>40</v>
      </c>
      <c r="N501">
        <f t="shared" si="52"/>
        <v>35</v>
      </c>
      <c r="O501">
        <f t="shared" si="53"/>
        <v>43</v>
      </c>
      <c r="P501" t="str">
        <f t="shared" si="54"/>
        <v>Placement Ready</v>
      </c>
      <c r="Q501" t="str">
        <f t="shared" si="55"/>
        <v>Medium</v>
      </c>
    </row>
    <row r="502" spans="1:17" x14ac:dyDescent="0.3">
      <c r="A502">
        <v>1501</v>
      </c>
      <c r="B502">
        <v>2</v>
      </c>
      <c r="C502">
        <v>7</v>
      </c>
      <c r="D502">
        <v>10</v>
      </c>
      <c r="E502">
        <v>9</v>
      </c>
      <c r="F502">
        <v>6</v>
      </c>
      <c r="G502">
        <v>0</v>
      </c>
      <c r="H502">
        <v>417</v>
      </c>
      <c r="I502">
        <v>3</v>
      </c>
      <c r="J502">
        <v>71</v>
      </c>
      <c r="K502">
        <f t="shared" si="49"/>
        <v>6.8</v>
      </c>
      <c r="L502">
        <f t="shared" si="50"/>
        <v>68</v>
      </c>
      <c r="M502">
        <f t="shared" si="51"/>
        <v>100</v>
      </c>
      <c r="N502">
        <f t="shared" si="52"/>
        <v>30</v>
      </c>
      <c r="O502">
        <f t="shared" si="53"/>
        <v>66</v>
      </c>
      <c r="P502" t="str">
        <f t="shared" si="54"/>
        <v>Needs Improvement</v>
      </c>
      <c r="Q502" t="str">
        <f t="shared" si="55"/>
        <v>Medium</v>
      </c>
    </row>
    <row r="503" spans="1:17" x14ac:dyDescent="0.3">
      <c r="A503">
        <v>1502</v>
      </c>
      <c r="B503">
        <v>1</v>
      </c>
      <c r="C503">
        <v>4</v>
      </c>
      <c r="D503">
        <v>4</v>
      </c>
      <c r="E503">
        <v>9</v>
      </c>
      <c r="F503">
        <v>4</v>
      </c>
      <c r="G503">
        <v>1</v>
      </c>
      <c r="H503">
        <v>360</v>
      </c>
      <c r="I503">
        <v>3</v>
      </c>
      <c r="J503">
        <v>93</v>
      </c>
      <c r="K503">
        <f t="shared" si="49"/>
        <v>4.4000000000000004</v>
      </c>
      <c r="L503">
        <f t="shared" si="50"/>
        <v>44</v>
      </c>
      <c r="M503">
        <f t="shared" si="51"/>
        <v>80</v>
      </c>
      <c r="N503">
        <f t="shared" si="52"/>
        <v>35</v>
      </c>
      <c r="O503">
        <f t="shared" si="53"/>
        <v>52</v>
      </c>
      <c r="P503" t="str">
        <f t="shared" si="54"/>
        <v>Placement Ready</v>
      </c>
      <c r="Q503" t="str">
        <f t="shared" si="55"/>
        <v>Medium</v>
      </c>
    </row>
    <row r="504" spans="1:17" x14ac:dyDescent="0.3">
      <c r="A504">
        <v>1503</v>
      </c>
      <c r="B504">
        <v>4</v>
      </c>
      <c r="C504">
        <v>3</v>
      </c>
      <c r="D504">
        <v>8</v>
      </c>
      <c r="E504">
        <v>8</v>
      </c>
      <c r="F504">
        <v>7</v>
      </c>
      <c r="G504">
        <v>5</v>
      </c>
      <c r="H504">
        <v>87</v>
      </c>
      <c r="I504">
        <v>0</v>
      </c>
      <c r="J504">
        <v>76</v>
      </c>
      <c r="K504">
        <f t="shared" si="49"/>
        <v>6</v>
      </c>
      <c r="L504">
        <f t="shared" si="50"/>
        <v>60</v>
      </c>
      <c r="M504">
        <f t="shared" si="51"/>
        <v>40</v>
      </c>
      <c r="N504">
        <f t="shared" si="52"/>
        <v>25</v>
      </c>
      <c r="O504">
        <f t="shared" si="53"/>
        <v>44</v>
      </c>
      <c r="P504" t="str">
        <f t="shared" si="54"/>
        <v>Placement Ready</v>
      </c>
      <c r="Q504" t="str">
        <f t="shared" si="55"/>
        <v>Medium</v>
      </c>
    </row>
    <row r="505" spans="1:17" x14ac:dyDescent="0.3">
      <c r="A505">
        <v>1504</v>
      </c>
      <c r="B505">
        <v>3</v>
      </c>
      <c r="C505">
        <v>3</v>
      </c>
      <c r="D505">
        <v>9</v>
      </c>
      <c r="E505">
        <v>1</v>
      </c>
      <c r="F505">
        <v>3</v>
      </c>
      <c r="G505">
        <v>7</v>
      </c>
      <c r="H505">
        <v>76</v>
      </c>
      <c r="I505">
        <v>2</v>
      </c>
      <c r="J505">
        <v>78</v>
      </c>
      <c r="K505">
        <f t="shared" si="49"/>
        <v>3.8</v>
      </c>
      <c r="L505">
        <f t="shared" si="50"/>
        <v>38</v>
      </c>
      <c r="M505">
        <f t="shared" si="51"/>
        <v>40</v>
      </c>
      <c r="N505">
        <f t="shared" si="52"/>
        <v>55</v>
      </c>
      <c r="O505">
        <f t="shared" si="53"/>
        <v>44</v>
      </c>
      <c r="P505" t="str">
        <f t="shared" si="54"/>
        <v>Placement Ready</v>
      </c>
      <c r="Q505" t="str">
        <f t="shared" si="55"/>
        <v>Medium</v>
      </c>
    </row>
    <row r="506" spans="1:17" x14ac:dyDescent="0.3">
      <c r="A506">
        <v>1505</v>
      </c>
      <c r="B506">
        <v>8</v>
      </c>
      <c r="C506">
        <v>5</v>
      </c>
      <c r="D506">
        <v>2</v>
      </c>
      <c r="E506">
        <v>7</v>
      </c>
      <c r="F506">
        <v>2</v>
      </c>
      <c r="G506">
        <v>5</v>
      </c>
      <c r="H506">
        <v>487</v>
      </c>
      <c r="I506">
        <v>4</v>
      </c>
      <c r="J506">
        <v>94</v>
      </c>
      <c r="K506">
        <f t="shared" si="49"/>
        <v>4.8</v>
      </c>
      <c r="L506">
        <f t="shared" si="50"/>
        <v>48</v>
      </c>
      <c r="M506">
        <f t="shared" si="51"/>
        <v>100</v>
      </c>
      <c r="N506">
        <f t="shared" si="52"/>
        <v>65</v>
      </c>
      <c r="O506">
        <f t="shared" si="53"/>
        <v>69</v>
      </c>
      <c r="P506" t="str">
        <f t="shared" si="54"/>
        <v>Placement Ready</v>
      </c>
      <c r="Q506" t="str">
        <f t="shared" si="55"/>
        <v>Medium</v>
      </c>
    </row>
    <row r="507" spans="1:17" x14ac:dyDescent="0.3">
      <c r="A507">
        <v>1506</v>
      </c>
      <c r="B507">
        <v>4</v>
      </c>
      <c r="C507">
        <v>5</v>
      </c>
      <c r="D507">
        <v>5</v>
      </c>
      <c r="E507">
        <v>5</v>
      </c>
      <c r="F507">
        <v>1</v>
      </c>
      <c r="G507">
        <v>5</v>
      </c>
      <c r="H507">
        <v>60</v>
      </c>
      <c r="I507">
        <v>3</v>
      </c>
      <c r="J507">
        <v>42</v>
      </c>
      <c r="K507">
        <f t="shared" si="49"/>
        <v>4</v>
      </c>
      <c r="L507">
        <f t="shared" si="50"/>
        <v>40</v>
      </c>
      <c r="M507">
        <f t="shared" si="51"/>
        <v>40</v>
      </c>
      <c r="N507">
        <f t="shared" si="52"/>
        <v>55</v>
      </c>
      <c r="O507">
        <f t="shared" si="53"/>
        <v>45</v>
      </c>
      <c r="P507" t="str">
        <f t="shared" si="54"/>
        <v>Not Ready</v>
      </c>
      <c r="Q507" t="str">
        <f t="shared" si="55"/>
        <v>Medium</v>
      </c>
    </row>
    <row r="508" spans="1:17" x14ac:dyDescent="0.3">
      <c r="A508">
        <v>1507</v>
      </c>
      <c r="B508">
        <v>2</v>
      </c>
      <c r="C508">
        <v>7</v>
      </c>
      <c r="D508">
        <v>5</v>
      </c>
      <c r="E508">
        <v>9</v>
      </c>
      <c r="F508">
        <v>9</v>
      </c>
      <c r="G508">
        <v>0</v>
      </c>
      <c r="H508">
        <v>315</v>
      </c>
      <c r="I508">
        <v>4</v>
      </c>
      <c r="J508">
        <v>94</v>
      </c>
      <c r="K508">
        <f t="shared" si="49"/>
        <v>6.4</v>
      </c>
      <c r="L508">
        <f t="shared" si="50"/>
        <v>64</v>
      </c>
      <c r="M508">
        <f t="shared" si="51"/>
        <v>80</v>
      </c>
      <c r="N508">
        <f t="shared" si="52"/>
        <v>40</v>
      </c>
      <c r="O508">
        <f t="shared" si="53"/>
        <v>62</v>
      </c>
      <c r="P508" t="str">
        <f t="shared" si="54"/>
        <v>Placement Ready</v>
      </c>
      <c r="Q508" t="str">
        <f t="shared" si="55"/>
        <v>Medium</v>
      </c>
    </row>
    <row r="509" spans="1:17" x14ac:dyDescent="0.3">
      <c r="A509">
        <v>1508</v>
      </c>
      <c r="B509">
        <v>9</v>
      </c>
      <c r="C509">
        <v>7</v>
      </c>
      <c r="D509">
        <v>6</v>
      </c>
      <c r="E509">
        <v>5</v>
      </c>
      <c r="F509">
        <v>8</v>
      </c>
      <c r="G509">
        <v>8</v>
      </c>
      <c r="H509">
        <v>269</v>
      </c>
      <c r="I509">
        <v>1</v>
      </c>
      <c r="J509">
        <v>58</v>
      </c>
      <c r="K509">
        <f t="shared" si="49"/>
        <v>7</v>
      </c>
      <c r="L509">
        <f t="shared" si="50"/>
        <v>70</v>
      </c>
      <c r="M509">
        <f t="shared" si="51"/>
        <v>80</v>
      </c>
      <c r="N509">
        <f t="shared" si="52"/>
        <v>50</v>
      </c>
      <c r="O509">
        <f t="shared" si="53"/>
        <v>67</v>
      </c>
      <c r="P509" t="str">
        <f t="shared" si="54"/>
        <v>Needs Improvement</v>
      </c>
      <c r="Q509" t="str">
        <f t="shared" si="55"/>
        <v>Medium</v>
      </c>
    </row>
    <row r="510" spans="1:17" x14ac:dyDescent="0.3">
      <c r="A510">
        <v>1509</v>
      </c>
      <c r="B510">
        <v>7</v>
      </c>
      <c r="C510">
        <v>6</v>
      </c>
      <c r="D510">
        <v>5</v>
      </c>
      <c r="E510">
        <v>9</v>
      </c>
      <c r="F510">
        <v>7</v>
      </c>
      <c r="G510">
        <v>3</v>
      </c>
      <c r="H510">
        <v>351</v>
      </c>
      <c r="I510">
        <v>1</v>
      </c>
      <c r="J510">
        <v>44</v>
      </c>
      <c r="K510">
        <f t="shared" si="49"/>
        <v>6.8</v>
      </c>
      <c r="L510">
        <f t="shared" si="50"/>
        <v>68</v>
      </c>
      <c r="M510">
        <f t="shared" si="51"/>
        <v>80</v>
      </c>
      <c r="N510">
        <f t="shared" si="52"/>
        <v>25</v>
      </c>
      <c r="O510">
        <f t="shared" si="53"/>
        <v>59</v>
      </c>
      <c r="P510" t="str">
        <f t="shared" si="54"/>
        <v>Not Ready</v>
      </c>
      <c r="Q510" t="str">
        <f t="shared" si="55"/>
        <v>Medium</v>
      </c>
    </row>
    <row r="511" spans="1:17" x14ac:dyDescent="0.3">
      <c r="A511">
        <v>1510</v>
      </c>
      <c r="B511">
        <v>3</v>
      </c>
      <c r="C511">
        <v>6</v>
      </c>
      <c r="D511">
        <v>10</v>
      </c>
      <c r="E511">
        <v>2</v>
      </c>
      <c r="F511">
        <v>7</v>
      </c>
      <c r="G511">
        <v>8</v>
      </c>
      <c r="H511">
        <v>233</v>
      </c>
      <c r="I511">
        <v>2</v>
      </c>
      <c r="J511">
        <v>92</v>
      </c>
      <c r="K511">
        <f t="shared" si="49"/>
        <v>5.6</v>
      </c>
      <c r="L511">
        <f t="shared" si="50"/>
        <v>56</v>
      </c>
      <c r="M511">
        <f t="shared" si="51"/>
        <v>60</v>
      </c>
      <c r="N511">
        <f t="shared" si="52"/>
        <v>60</v>
      </c>
      <c r="O511">
        <f t="shared" si="53"/>
        <v>58</v>
      </c>
      <c r="P511" t="str">
        <f t="shared" si="54"/>
        <v>Placement Ready</v>
      </c>
      <c r="Q511" t="str">
        <f t="shared" si="55"/>
        <v>Medium</v>
      </c>
    </row>
    <row r="512" spans="1:17" x14ac:dyDescent="0.3">
      <c r="A512">
        <v>1511</v>
      </c>
      <c r="B512">
        <v>10</v>
      </c>
      <c r="C512">
        <v>8</v>
      </c>
      <c r="D512">
        <v>2</v>
      </c>
      <c r="E512">
        <v>10</v>
      </c>
      <c r="F512">
        <v>4</v>
      </c>
      <c r="G512">
        <v>1</v>
      </c>
      <c r="H512">
        <v>185</v>
      </c>
      <c r="I512">
        <v>2</v>
      </c>
      <c r="J512">
        <v>95</v>
      </c>
      <c r="K512">
        <f t="shared" si="49"/>
        <v>6.8</v>
      </c>
      <c r="L512">
        <f t="shared" si="50"/>
        <v>68</v>
      </c>
      <c r="M512">
        <f t="shared" si="51"/>
        <v>60</v>
      </c>
      <c r="N512">
        <f t="shared" si="52"/>
        <v>25</v>
      </c>
      <c r="O512">
        <f t="shared" si="53"/>
        <v>53</v>
      </c>
      <c r="P512" t="str">
        <f t="shared" si="54"/>
        <v>Placement Ready</v>
      </c>
      <c r="Q512" t="str">
        <f t="shared" si="55"/>
        <v>Medium</v>
      </c>
    </row>
    <row r="513" spans="1:17" x14ac:dyDescent="0.3">
      <c r="A513">
        <v>1512</v>
      </c>
      <c r="B513">
        <v>6</v>
      </c>
      <c r="C513">
        <v>8</v>
      </c>
      <c r="D513">
        <v>9</v>
      </c>
      <c r="E513">
        <v>1</v>
      </c>
      <c r="F513">
        <v>3</v>
      </c>
      <c r="G513">
        <v>8</v>
      </c>
      <c r="H513">
        <v>128</v>
      </c>
      <c r="I513">
        <v>0</v>
      </c>
      <c r="J513">
        <v>86</v>
      </c>
      <c r="K513">
        <f t="shared" si="49"/>
        <v>5.4</v>
      </c>
      <c r="L513">
        <f t="shared" si="50"/>
        <v>54</v>
      </c>
      <c r="M513">
        <f t="shared" si="51"/>
        <v>40</v>
      </c>
      <c r="N513">
        <f t="shared" si="52"/>
        <v>40</v>
      </c>
      <c r="O513">
        <f t="shared" si="53"/>
        <v>46</v>
      </c>
      <c r="P513" t="str">
        <f t="shared" si="54"/>
        <v>Placement Ready</v>
      </c>
      <c r="Q513" t="str">
        <f t="shared" si="55"/>
        <v>Medium</v>
      </c>
    </row>
    <row r="514" spans="1:17" x14ac:dyDescent="0.3">
      <c r="A514">
        <v>1513</v>
      </c>
      <c r="B514">
        <v>9</v>
      </c>
      <c r="C514">
        <v>5</v>
      </c>
      <c r="D514">
        <v>6</v>
      </c>
      <c r="E514">
        <v>9</v>
      </c>
      <c r="F514">
        <v>7</v>
      </c>
      <c r="G514">
        <v>5</v>
      </c>
      <c r="H514">
        <v>280</v>
      </c>
      <c r="I514">
        <v>5</v>
      </c>
      <c r="J514">
        <v>50</v>
      </c>
      <c r="K514">
        <f t="shared" si="49"/>
        <v>7.2</v>
      </c>
      <c r="L514">
        <f t="shared" si="50"/>
        <v>72</v>
      </c>
      <c r="M514">
        <f t="shared" si="51"/>
        <v>80</v>
      </c>
      <c r="N514">
        <f t="shared" si="52"/>
        <v>75</v>
      </c>
      <c r="O514">
        <f t="shared" si="53"/>
        <v>75</v>
      </c>
      <c r="P514" t="str">
        <f t="shared" si="54"/>
        <v>Needs Improvement</v>
      </c>
      <c r="Q514" t="str">
        <f t="shared" si="55"/>
        <v>High</v>
      </c>
    </row>
    <row r="515" spans="1:17" x14ac:dyDescent="0.3">
      <c r="A515">
        <v>1514</v>
      </c>
      <c r="B515">
        <v>6</v>
      </c>
      <c r="C515">
        <v>4</v>
      </c>
      <c r="D515">
        <v>9</v>
      </c>
      <c r="E515">
        <v>2</v>
      </c>
      <c r="F515">
        <v>2</v>
      </c>
      <c r="G515">
        <v>1</v>
      </c>
      <c r="H515">
        <v>220</v>
      </c>
      <c r="I515">
        <v>5</v>
      </c>
      <c r="J515">
        <v>74</v>
      </c>
      <c r="K515">
        <f t="shared" ref="K515:K578" si="56">AVERAGE(B515:F515)</f>
        <v>4.5999999999999996</v>
      </c>
      <c r="L515">
        <f t="shared" ref="L515:L578" si="57">K515*10</f>
        <v>46</v>
      </c>
      <c r="M515">
        <f t="shared" ref="M515:M578" si="58">IF(H515&gt;=400,100,IF(H515&gt;=250,80,IF(H515&gt;=150,60,40)))</f>
        <v>60</v>
      </c>
      <c r="N515">
        <f t="shared" ref="N515:N578" si="59">(G515*5)+(I515*10)</f>
        <v>55</v>
      </c>
      <c r="O515">
        <f t="shared" ref="O515:O578" si="60">ROUND((L515*0.4)+(M515*0.3)+(N515*0.3),0)</f>
        <v>53</v>
      </c>
      <c r="P515" t="str">
        <f t="shared" ref="P515:P578" si="61">IF(J515&gt;=75,"Placement Ready",IF(J515&gt;=50,"Needs Improvement","Not Ready"))</f>
        <v>Needs Improvement</v>
      </c>
      <c r="Q515" t="str">
        <f t="shared" ref="Q515:Q578" si="62">IF(O515&lt;40,"Low",IF(O515&lt;=70,"Medium","High"))</f>
        <v>Medium</v>
      </c>
    </row>
    <row r="516" spans="1:17" x14ac:dyDescent="0.3">
      <c r="A516">
        <v>1515</v>
      </c>
      <c r="B516">
        <v>8</v>
      </c>
      <c r="C516">
        <v>4</v>
      </c>
      <c r="D516">
        <v>8</v>
      </c>
      <c r="E516">
        <v>5</v>
      </c>
      <c r="F516">
        <v>10</v>
      </c>
      <c r="G516">
        <v>1</v>
      </c>
      <c r="H516">
        <v>465</v>
      </c>
      <c r="I516">
        <v>2</v>
      </c>
      <c r="J516">
        <v>62</v>
      </c>
      <c r="K516">
        <f t="shared" si="56"/>
        <v>7</v>
      </c>
      <c r="L516">
        <f t="shared" si="57"/>
        <v>70</v>
      </c>
      <c r="M516">
        <f t="shared" si="58"/>
        <v>100</v>
      </c>
      <c r="N516">
        <f t="shared" si="59"/>
        <v>25</v>
      </c>
      <c r="O516">
        <f t="shared" si="60"/>
        <v>66</v>
      </c>
      <c r="P516" t="str">
        <f t="shared" si="61"/>
        <v>Needs Improvement</v>
      </c>
      <c r="Q516" t="str">
        <f t="shared" si="62"/>
        <v>Medium</v>
      </c>
    </row>
    <row r="517" spans="1:17" x14ac:dyDescent="0.3">
      <c r="A517">
        <v>1516</v>
      </c>
      <c r="B517">
        <v>7</v>
      </c>
      <c r="C517">
        <v>1</v>
      </c>
      <c r="D517">
        <v>10</v>
      </c>
      <c r="E517">
        <v>6</v>
      </c>
      <c r="F517">
        <v>4</v>
      </c>
      <c r="G517">
        <v>8</v>
      </c>
      <c r="H517">
        <v>440</v>
      </c>
      <c r="I517">
        <v>3</v>
      </c>
      <c r="J517">
        <v>92</v>
      </c>
      <c r="K517">
        <f t="shared" si="56"/>
        <v>5.6</v>
      </c>
      <c r="L517">
        <f t="shared" si="57"/>
        <v>56</v>
      </c>
      <c r="M517">
        <f t="shared" si="58"/>
        <v>100</v>
      </c>
      <c r="N517">
        <f t="shared" si="59"/>
        <v>70</v>
      </c>
      <c r="O517">
        <f t="shared" si="60"/>
        <v>73</v>
      </c>
      <c r="P517" t="str">
        <f t="shared" si="61"/>
        <v>Placement Ready</v>
      </c>
      <c r="Q517" t="str">
        <f t="shared" si="62"/>
        <v>High</v>
      </c>
    </row>
    <row r="518" spans="1:17" x14ac:dyDescent="0.3">
      <c r="A518">
        <v>1517</v>
      </c>
      <c r="B518">
        <v>2</v>
      </c>
      <c r="C518">
        <v>1</v>
      </c>
      <c r="D518">
        <v>3</v>
      </c>
      <c r="E518">
        <v>5</v>
      </c>
      <c r="F518">
        <v>6</v>
      </c>
      <c r="G518">
        <v>5</v>
      </c>
      <c r="H518">
        <v>369</v>
      </c>
      <c r="I518">
        <v>0</v>
      </c>
      <c r="J518">
        <v>63</v>
      </c>
      <c r="K518">
        <f t="shared" si="56"/>
        <v>3.4</v>
      </c>
      <c r="L518">
        <f t="shared" si="57"/>
        <v>34</v>
      </c>
      <c r="M518">
        <f t="shared" si="58"/>
        <v>80</v>
      </c>
      <c r="N518">
        <f t="shared" si="59"/>
        <v>25</v>
      </c>
      <c r="O518">
        <f t="shared" si="60"/>
        <v>45</v>
      </c>
      <c r="P518" t="str">
        <f t="shared" si="61"/>
        <v>Needs Improvement</v>
      </c>
      <c r="Q518" t="str">
        <f t="shared" si="62"/>
        <v>Medium</v>
      </c>
    </row>
    <row r="519" spans="1:17" x14ac:dyDescent="0.3">
      <c r="A519">
        <v>1518</v>
      </c>
      <c r="B519">
        <v>8</v>
      </c>
      <c r="C519">
        <v>8</v>
      </c>
      <c r="D519">
        <v>7</v>
      </c>
      <c r="E519">
        <v>3</v>
      </c>
      <c r="F519">
        <v>7</v>
      </c>
      <c r="G519">
        <v>5</v>
      </c>
      <c r="H519">
        <v>452</v>
      </c>
      <c r="I519">
        <v>1</v>
      </c>
      <c r="J519">
        <v>54</v>
      </c>
      <c r="K519">
        <f t="shared" si="56"/>
        <v>6.6</v>
      </c>
      <c r="L519">
        <f t="shared" si="57"/>
        <v>66</v>
      </c>
      <c r="M519">
        <f t="shared" si="58"/>
        <v>100</v>
      </c>
      <c r="N519">
        <f t="shared" si="59"/>
        <v>35</v>
      </c>
      <c r="O519">
        <f t="shared" si="60"/>
        <v>67</v>
      </c>
      <c r="P519" t="str">
        <f t="shared" si="61"/>
        <v>Needs Improvement</v>
      </c>
      <c r="Q519" t="str">
        <f t="shared" si="62"/>
        <v>Medium</v>
      </c>
    </row>
    <row r="520" spans="1:17" x14ac:dyDescent="0.3">
      <c r="A520">
        <v>1519</v>
      </c>
      <c r="B520">
        <v>8</v>
      </c>
      <c r="C520">
        <v>10</v>
      </c>
      <c r="D520">
        <v>2</v>
      </c>
      <c r="E520">
        <v>4</v>
      </c>
      <c r="F520">
        <v>6</v>
      </c>
      <c r="G520">
        <v>0</v>
      </c>
      <c r="H520">
        <v>349</v>
      </c>
      <c r="I520">
        <v>2</v>
      </c>
      <c r="J520">
        <v>61</v>
      </c>
      <c r="K520">
        <f t="shared" si="56"/>
        <v>6</v>
      </c>
      <c r="L520">
        <f t="shared" si="57"/>
        <v>60</v>
      </c>
      <c r="M520">
        <f t="shared" si="58"/>
        <v>80</v>
      </c>
      <c r="N520">
        <f t="shared" si="59"/>
        <v>20</v>
      </c>
      <c r="O520">
        <f t="shared" si="60"/>
        <v>54</v>
      </c>
      <c r="P520" t="str">
        <f t="shared" si="61"/>
        <v>Needs Improvement</v>
      </c>
      <c r="Q520" t="str">
        <f t="shared" si="62"/>
        <v>Medium</v>
      </c>
    </row>
    <row r="521" spans="1:17" x14ac:dyDescent="0.3">
      <c r="A521">
        <v>1520</v>
      </c>
      <c r="B521">
        <v>2</v>
      </c>
      <c r="C521">
        <v>10</v>
      </c>
      <c r="D521">
        <v>10</v>
      </c>
      <c r="E521">
        <v>4</v>
      </c>
      <c r="F521">
        <v>4</v>
      </c>
      <c r="G521">
        <v>4</v>
      </c>
      <c r="H521">
        <v>390</v>
      </c>
      <c r="I521">
        <v>2</v>
      </c>
      <c r="J521">
        <v>69</v>
      </c>
      <c r="K521">
        <f t="shared" si="56"/>
        <v>6</v>
      </c>
      <c r="L521">
        <f t="shared" si="57"/>
        <v>60</v>
      </c>
      <c r="M521">
        <f t="shared" si="58"/>
        <v>80</v>
      </c>
      <c r="N521">
        <f t="shared" si="59"/>
        <v>40</v>
      </c>
      <c r="O521">
        <f t="shared" si="60"/>
        <v>60</v>
      </c>
      <c r="P521" t="str">
        <f t="shared" si="61"/>
        <v>Needs Improvement</v>
      </c>
      <c r="Q521" t="str">
        <f t="shared" si="62"/>
        <v>Medium</v>
      </c>
    </row>
    <row r="522" spans="1:17" x14ac:dyDescent="0.3">
      <c r="A522">
        <v>1521</v>
      </c>
      <c r="B522">
        <v>9</v>
      </c>
      <c r="C522">
        <v>8</v>
      </c>
      <c r="D522">
        <v>4</v>
      </c>
      <c r="E522">
        <v>10</v>
      </c>
      <c r="F522">
        <v>3</v>
      </c>
      <c r="G522">
        <v>1</v>
      </c>
      <c r="H522">
        <v>368</v>
      </c>
      <c r="I522">
        <v>1</v>
      </c>
      <c r="J522">
        <v>74</v>
      </c>
      <c r="K522">
        <f t="shared" si="56"/>
        <v>6.8</v>
      </c>
      <c r="L522">
        <f t="shared" si="57"/>
        <v>68</v>
      </c>
      <c r="M522">
        <f t="shared" si="58"/>
        <v>80</v>
      </c>
      <c r="N522">
        <f t="shared" si="59"/>
        <v>15</v>
      </c>
      <c r="O522">
        <f t="shared" si="60"/>
        <v>56</v>
      </c>
      <c r="P522" t="str">
        <f t="shared" si="61"/>
        <v>Needs Improvement</v>
      </c>
      <c r="Q522" t="str">
        <f t="shared" si="62"/>
        <v>Medium</v>
      </c>
    </row>
    <row r="523" spans="1:17" x14ac:dyDescent="0.3">
      <c r="A523">
        <v>1522</v>
      </c>
      <c r="B523">
        <v>5</v>
      </c>
      <c r="C523">
        <v>5</v>
      </c>
      <c r="D523">
        <v>6</v>
      </c>
      <c r="E523">
        <v>7</v>
      </c>
      <c r="F523">
        <v>2</v>
      </c>
      <c r="G523">
        <v>4</v>
      </c>
      <c r="H523">
        <v>356</v>
      </c>
      <c r="I523">
        <v>5</v>
      </c>
      <c r="J523">
        <v>75</v>
      </c>
      <c r="K523">
        <f t="shared" si="56"/>
        <v>5</v>
      </c>
      <c r="L523">
        <f t="shared" si="57"/>
        <v>50</v>
      </c>
      <c r="M523">
        <f t="shared" si="58"/>
        <v>80</v>
      </c>
      <c r="N523">
        <f t="shared" si="59"/>
        <v>70</v>
      </c>
      <c r="O523">
        <f t="shared" si="60"/>
        <v>65</v>
      </c>
      <c r="P523" t="str">
        <f t="shared" si="61"/>
        <v>Placement Ready</v>
      </c>
      <c r="Q523" t="str">
        <f t="shared" si="62"/>
        <v>Medium</v>
      </c>
    </row>
    <row r="524" spans="1:17" x14ac:dyDescent="0.3">
      <c r="A524">
        <v>1523</v>
      </c>
      <c r="B524">
        <v>3</v>
      </c>
      <c r="C524">
        <v>1</v>
      </c>
      <c r="D524">
        <v>9</v>
      </c>
      <c r="E524">
        <v>5</v>
      </c>
      <c r="F524">
        <v>3</v>
      </c>
      <c r="G524">
        <v>0</v>
      </c>
      <c r="H524">
        <v>111</v>
      </c>
      <c r="I524">
        <v>5</v>
      </c>
      <c r="J524">
        <v>83</v>
      </c>
      <c r="K524">
        <f t="shared" si="56"/>
        <v>4.2</v>
      </c>
      <c r="L524">
        <f t="shared" si="57"/>
        <v>42</v>
      </c>
      <c r="M524">
        <f t="shared" si="58"/>
        <v>40</v>
      </c>
      <c r="N524">
        <f t="shared" si="59"/>
        <v>50</v>
      </c>
      <c r="O524">
        <f t="shared" si="60"/>
        <v>44</v>
      </c>
      <c r="P524" t="str">
        <f t="shared" si="61"/>
        <v>Placement Ready</v>
      </c>
      <c r="Q524" t="str">
        <f t="shared" si="62"/>
        <v>Medium</v>
      </c>
    </row>
    <row r="525" spans="1:17" x14ac:dyDescent="0.3">
      <c r="A525">
        <v>1524</v>
      </c>
      <c r="B525">
        <v>4</v>
      </c>
      <c r="C525">
        <v>3</v>
      </c>
      <c r="D525">
        <v>6</v>
      </c>
      <c r="E525">
        <v>9</v>
      </c>
      <c r="F525">
        <v>8</v>
      </c>
      <c r="G525">
        <v>2</v>
      </c>
      <c r="H525">
        <v>298</v>
      </c>
      <c r="I525">
        <v>4</v>
      </c>
      <c r="J525">
        <v>93</v>
      </c>
      <c r="K525">
        <f t="shared" si="56"/>
        <v>6</v>
      </c>
      <c r="L525">
        <f t="shared" si="57"/>
        <v>60</v>
      </c>
      <c r="M525">
        <f t="shared" si="58"/>
        <v>80</v>
      </c>
      <c r="N525">
        <f t="shared" si="59"/>
        <v>50</v>
      </c>
      <c r="O525">
        <f t="shared" si="60"/>
        <v>63</v>
      </c>
      <c r="P525" t="str">
        <f t="shared" si="61"/>
        <v>Placement Ready</v>
      </c>
      <c r="Q525" t="str">
        <f t="shared" si="62"/>
        <v>Medium</v>
      </c>
    </row>
    <row r="526" spans="1:17" x14ac:dyDescent="0.3">
      <c r="A526">
        <v>1525</v>
      </c>
      <c r="B526">
        <v>3</v>
      </c>
      <c r="C526">
        <v>7</v>
      </c>
      <c r="D526">
        <v>4</v>
      </c>
      <c r="E526">
        <v>10</v>
      </c>
      <c r="F526">
        <v>3</v>
      </c>
      <c r="G526">
        <v>7</v>
      </c>
      <c r="H526">
        <v>208</v>
      </c>
      <c r="I526">
        <v>3</v>
      </c>
      <c r="J526">
        <v>73</v>
      </c>
      <c r="K526">
        <f t="shared" si="56"/>
        <v>5.4</v>
      </c>
      <c r="L526">
        <f t="shared" si="57"/>
        <v>54</v>
      </c>
      <c r="M526">
        <f t="shared" si="58"/>
        <v>60</v>
      </c>
      <c r="N526">
        <f t="shared" si="59"/>
        <v>65</v>
      </c>
      <c r="O526">
        <f t="shared" si="60"/>
        <v>59</v>
      </c>
      <c r="P526" t="str">
        <f t="shared" si="61"/>
        <v>Needs Improvement</v>
      </c>
      <c r="Q526" t="str">
        <f t="shared" si="62"/>
        <v>Medium</v>
      </c>
    </row>
    <row r="527" spans="1:17" x14ac:dyDescent="0.3">
      <c r="A527">
        <v>1526</v>
      </c>
      <c r="B527">
        <v>8</v>
      </c>
      <c r="C527">
        <v>5</v>
      </c>
      <c r="D527">
        <v>5</v>
      </c>
      <c r="E527">
        <v>1</v>
      </c>
      <c r="F527">
        <v>1</v>
      </c>
      <c r="G527">
        <v>2</v>
      </c>
      <c r="H527">
        <v>256</v>
      </c>
      <c r="I527">
        <v>5</v>
      </c>
      <c r="J527">
        <v>66</v>
      </c>
      <c r="K527">
        <f t="shared" si="56"/>
        <v>4</v>
      </c>
      <c r="L527">
        <f t="shared" si="57"/>
        <v>40</v>
      </c>
      <c r="M527">
        <f t="shared" si="58"/>
        <v>80</v>
      </c>
      <c r="N527">
        <f t="shared" si="59"/>
        <v>60</v>
      </c>
      <c r="O527">
        <f t="shared" si="60"/>
        <v>58</v>
      </c>
      <c r="P527" t="str">
        <f t="shared" si="61"/>
        <v>Needs Improvement</v>
      </c>
      <c r="Q527" t="str">
        <f t="shared" si="62"/>
        <v>Medium</v>
      </c>
    </row>
    <row r="528" spans="1:17" x14ac:dyDescent="0.3">
      <c r="A528">
        <v>1527</v>
      </c>
      <c r="B528">
        <v>2</v>
      </c>
      <c r="C528">
        <v>4</v>
      </c>
      <c r="D528">
        <v>2</v>
      </c>
      <c r="E528">
        <v>7</v>
      </c>
      <c r="F528">
        <v>8</v>
      </c>
      <c r="G528">
        <v>1</v>
      </c>
      <c r="H528">
        <v>133</v>
      </c>
      <c r="I528">
        <v>3</v>
      </c>
      <c r="J528">
        <v>85</v>
      </c>
      <c r="K528">
        <f t="shared" si="56"/>
        <v>4.5999999999999996</v>
      </c>
      <c r="L528">
        <f t="shared" si="57"/>
        <v>46</v>
      </c>
      <c r="M528">
        <f t="shared" si="58"/>
        <v>40</v>
      </c>
      <c r="N528">
        <f t="shared" si="59"/>
        <v>35</v>
      </c>
      <c r="O528">
        <f t="shared" si="60"/>
        <v>41</v>
      </c>
      <c r="P528" t="str">
        <f t="shared" si="61"/>
        <v>Placement Ready</v>
      </c>
      <c r="Q528" t="str">
        <f t="shared" si="62"/>
        <v>Medium</v>
      </c>
    </row>
    <row r="529" spans="1:17" x14ac:dyDescent="0.3">
      <c r="A529">
        <v>1528</v>
      </c>
      <c r="B529">
        <v>9</v>
      </c>
      <c r="C529">
        <v>8</v>
      </c>
      <c r="D529">
        <v>4</v>
      </c>
      <c r="E529">
        <v>2</v>
      </c>
      <c r="F529">
        <v>5</v>
      </c>
      <c r="G529">
        <v>2</v>
      </c>
      <c r="H529">
        <v>114</v>
      </c>
      <c r="I529">
        <v>0</v>
      </c>
      <c r="J529">
        <v>81</v>
      </c>
      <c r="K529">
        <f t="shared" si="56"/>
        <v>5.6</v>
      </c>
      <c r="L529">
        <f t="shared" si="57"/>
        <v>56</v>
      </c>
      <c r="M529">
        <f t="shared" si="58"/>
        <v>40</v>
      </c>
      <c r="N529">
        <f t="shared" si="59"/>
        <v>10</v>
      </c>
      <c r="O529">
        <f t="shared" si="60"/>
        <v>37</v>
      </c>
      <c r="P529" t="str">
        <f t="shared" si="61"/>
        <v>Placement Ready</v>
      </c>
      <c r="Q529" t="str">
        <f t="shared" si="62"/>
        <v>Low</v>
      </c>
    </row>
    <row r="530" spans="1:17" x14ac:dyDescent="0.3">
      <c r="A530">
        <v>1529</v>
      </c>
      <c r="B530">
        <v>5</v>
      </c>
      <c r="C530">
        <v>4</v>
      </c>
      <c r="D530">
        <v>8</v>
      </c>
      <c r="E530">
        <v>8</v>
      </c>
      <c r="F530">
        <v>4</v>
      </c>
      <c r="G530">
        <v>1</v>
      </c>
      <c r="H530">
        <v>464</v>
      </c>
      <c r="I530">
        <v>0</v>
      </c>
      <c r="J530">
        <v>82</v>
      </c>
      <c r="K530">
        <f t="shared" si="56"/>
        <v>5.8</v>
      </c>
      <c r="L530">
        <f t="shared" si="57"/>
        <v>58</v>
      </c>
      <c r="M530">
        <f t="shared" si="58"/>
        <v>100</v>
      </c>
      <c r="N530">
        <f t="shared" si="59"/>
        <v>5</v>
      </c>
      <c r="O530">
        <f t="shared" si="60"/>
        <v>55</v>
      </c>
      <c r="P530" t="str">
        <f t="shared" si="61"/>
        <v>Placement Ready</v>
      </c>
      <c r="Q530" t="str">
        <f t="shared" si="62"/>
        <v>Medium</v>
      </c>
    </row>
    <row r="531" spans="1:17" x14ac:dyDescent="0.3">
      <c r="A531">
        <v>1530</v>
      </c>
      <c r="B531">
        <v>6</v>
      </c>
      <c r="C531">
        <v>8</v>
      </c>
      <c r="D531">
        <v>7</v>
      </c>
      <c r="E531">
        <v>3</v>
      </c>
      <c r="F531">
        <v>3</v>
      </c>
      <c r="G531">
        <v>8</v>
      </c>
      <c r="H531">
        <v>55</v>
      </c>
      <c r="I531">
        <v>0</v>
      </c>
      <c r="J531">
        <v>47</v>
      </c>
      <c r="K531">
        <f t="shared" si="56"/>
        <v>5.4</v>
      </c>
      <c r="L531">
        <f t="shared" si="57"/>
        <v>54</v>
      </c>
      <c r="M531">
        <f t="shared" si="58"/>
        <v>40</v>
      </c>
      <c r="N531">
        <f t="shared" si="59"/>
        <v>40</v>
      </c>
      <c r="O531">
        <f t="shared" si="60"/>
        <v>46</v>
      </c>
      <c r="P531" t="str">
        <f t="shared" si="61"/>
        <v>Not Ready</v>
      </c>
      <c r="Q531" t="str">
        <f t="shared" si="62"/>
        <v>Medium</v>
      </c>
    </row>
    <row r="532" spans="1:17" x14ac:dyDescent="0.3">
      <c r="A532">
        <v>1531</v>
      </c>
      <c r="B532">
        <v>8</v>
      </c>
      <c r="C532">
        <v>1</v>
      </c>
      <c r="D532">
        <v>1</v>
      </c>
      <c r="E532">
        <v>1</v>
      </c>
      <c r="F532">
        <v>2</v>
      </c>
      <c r="G532">
        <v>2</v>
      </c>
      <c r="H532">
        <v>354</v>
      </c>
      <c r="I532">
        <v>4</v>
      </c>
      <c r="J532">
        <v>48</v>
      </c>
      <c r="K532">
        <f t="shared" si="56"/>
        <v>2.6</v>
      </c>
      <c r="L532">
        <f t="shared" si="57"/>
        <v>26</v>
      </c>
      <c r="M532">
        <f t="shared" si="58"/>
        <v>80</v>
      </c>
      <c r="N532">
        <f t="shared" si="59"/>
        <v>50</v>
      </c>
      <c r="O532">
        <f t="shared" si="60"/>
        <v>49</v>
      </c>
      <c r="P532" t="str">
        <f t="shared" si="61"/>
        <v>Not Ready</v>
      </c>
      <c r="Q532" t="str">
        <f t="shared" si="62"/>
        <v>Medium</v>
      </c>
    </row>
    <row r="533" spans="1:17" x14ac:dyDescent="0.3">
      <c r="A533">
        <v>1532</v>
      </c>
      <c r="B533">
        <v>10</v>
      </c>
      <c r="C533">
        <v>5</v>
      </c>
      <c r="D533">
        <v>6</v>
      </c>
      <c r="E533">
        <v>9</v>
      </c>
      <c r="F533">
        <v>1</v>
      </c>
      <c r="G533">
        <v>2</v>
      </c>
      <c r="H533">
        <v>430</v>
      </c>
      <c r="I533">
        <v>5</v>
      </c>
      <c r="J533">
        <v>87</v>
      </c>
      <c r="K533">
        <f t="shared" si="56"/>
        <v>6.2</v>
      </c>
      <c r="L533">
        <f t="shared" si="57"/>
        <v>62</v>
      </c>
      <c r="M533">
        <f t="shared" si="58"/>
        <v>100</v>
      </c>
      <c r="N533">
        <f t="shared" si="59"/>
        <v>60</v>
      </c>
      <c r="O533">
        <f t="shared" si="60"/>
        <v>73</v>
      </c>
      <c r="P533" t="str">
        <f t="shared" si="61"/>
        <v>Placement Ready</v>
      </c>
      <c r="Q533" t="str">
        <f t="shared" si="62"/>
        <v>High</v>
      </c>
    </row>
    <row r="534" spans="1:17" x14ac:dyDescent="0.3">
      <c r="A534">
        <v>1533</v>
      </c>
      <c r="B534">
        <v>3</v>
      </c>
      <c r="C534">
        <v>6</v>
      </c>
      <c r="D534">
        <v>4</v>
      </c>
      <c r="E534">
        <v>5</v>
      </c>
      <c r="F534">
        <v>10</v>
      </c>
      <c r="G534">
        <v>3</v>
      </c>
      <c r="H534">
        <v>443</v>
      </c>
      <c r="I534">
        <v>5</v>
      </c>
      <c r="J534">
        <v>93</v>
      </c>
      <c r="K534">
        <f t="shared" si="56"/>
        <v>5.6</v>
      </c>
      <c r="L534">
        <f t="shared" si="57"/>
        <v>56</v>
      </c>
      <c r="M534">
        <f t="shared" si="58"/>
        <v>100</v>
      </c>
      <c r="N534">
        <f t="shared" si="59"/>
        <v>65</v>
      </c>
      <c r="O534">
        <f t="shared" si="60"/>
        <v>72</v>
      </c>
      <c r="P534" t="str">
        <f t="shared" si="61"/>
        <v>Placement Ready</v>
      </c>
      <c r="Q534" t="str">
        <f t="shared" si="62"/>
        <v>High</v>
      </c>
    </row>
    <row r="535" spans="1:17" x14ac:dyDescent="0.3">
      <c r="A535">
        <v>1534</v>
      </c>
      <c r="B535">
        <v>5</v>
      </c>
      <c r="C535">
        <v>7</v>
      </c>
      <c r="D535">
        <v>10</v>
      </c>
      <c r="E535">
        <v>2</v>
      </c>
      <c r="F535">
        <v>4</v>
      </c>
      <c r="G535">
        <v>3</v>
      </c>
      <c r="H535">
        <v>498</v>
      </c>
      <c r="I535">
        <v>2</v>
      </c>
      <c r="J535">
        <v>61</v>
      </c>
      <c r="K535">
        <f t="shared" si="56"/>
        <v>5.6</v>
      </c>
      <c r="L535">
        <f t="shared" si="57"/>
        <v>56</v>
      </c>
      <c r="M535">
        <f t="shared" si="58"/>
        <v>100</v>
      </c>
      <c r="N535">
        <f t="shared" si="59"/>
        <v>35</v>
      </c>
      <c r="O535">
        <f t="shared" si="60"/>
        <v>63</v>
      </c>
      <c r="P535" t="str">
        <f t="shared" si="61"/>
        <v>Needs Improvement</v>
      </c>
      <c r="Q535" t="str">
        <f t="shared" si="62"/>
        <v>Medium</v>
      </c>
    </row>
    <row r="536" spans="1:17" x14ac:dyDescent="0.3">
      <c r="A536">
        <v>1535</v>
      </c>
      <c r="B536">
        <v>9</v>
      </c>
      <c r="C536">
        <v>2</v>
      </c>
      <c r="D536">
        <v>2</v>
      </c>
      <c r="E536">
        <v>1</v>
      </c>
      <c r="F536">
        <v>1</v>
      </c>
      <c r="G536">
        <v>5</v>
      </c>
      <c r="H536">
        <v>457</v>
      </c>
      <c r="I536">
        <v>5</v>
      </c>
      <c r="J536">
        <v>93</v>
      </c>
      <c r="K536">
        <f t="shared" si="56"/>
        <v>3</v>
      </c>
      <c r="L536">
        <f t="shared" si="57"/>
        <v>30</v>
      </c>
      <c r="M536">
        <f t="shared" si="58"/>
        <v>100</v>
      </c>
      <c r="N536">
        <f t="shared" si="59"/>
        <v>75</v>
      </c>
      <c r="O536">
        <f t="shared" si="60"/>
        <v>65</v>
      </c>
      <c r="P536" t="str">
        <f t="shared" si="61"/>
        <v>Placement Ready</v>
      </c>
      <c r="Q536" t="str">
        <f t="shared" si="62"/>
        <v>Medium</v>
      </c>
    </row>
    <row r="537" spans="1:17" x14ac:dyDescent="0.3">
      <c r="A537">
        <v>1536</v>
      </c>
      <c r="B537">
        <v>3</v>
      </c>
      <c r="C537">
        <v>7</v>
      </c>
      <c r="D537">
        <v>5</v>
      </c>
      <c r="E537">
        <v>5</v>
      </c>
      <c r="F537">
        <v>7</v>
      </c>
      <c r="G537">
        <v>6</v>
      </c>
      <c r="H537">
        <v>386</v>
      </c>
      <c r="I537">
        <v>2</v>
      </c>
      <c r="J537">
        <v>95</v>
      </c>
      <c r="K537">
        <f t="shared" si="56"/>
        <v>5.4</v>
      </c>
      <c r="L537">
        <f t="shared" si="57"/>
        <v>54</v>
      </c>
      <c r="M537">
        <f t="shared" si="58"/>
        <v>80</v>
      </c>
      <c r="N537">
        <f t="shared" si="59"/>
        <v>50</v>
      </c>
      <c r="O537">
        <f t="shared" si="60"/>
        <v>61</v>
      </c>
      <c r="P537" t="str">
        <f t="shared" si="61"/>
        <v>Placement Ready</v>
      </c>
      <c r="Q537" t="str">
        <f t="shared" si="62"/>
        <v>Medium</v>
      </c>
    </row>
    <row r="538" spans="1:17" x14ac:dyDescent="0.3">
      <c r="A538">
        <v>1537</v>
      </c>
      <c r="B538">
        <v>2</v>
      </c>
      <c r="C538">
        <v>7</v>
      </c>
      <c r="D538">
        <v>10</v>
      </c>
      <c r="E538">
        <v>2</v>
      </c>
      <c r="F538">
        <v>9</v>
      </c>
      <c r="G538">
        <v>2</v>
      </c>
      <c r="H538">
        <v>421</v>
      </c>
      <c r="I538">
        <v>2</v>
      </c>
      <c r="J538">
        <v>56</v>
      </c>
      <c r="K538">
        <f t="shared" si="56"/>
        <v>6</v>
      </c>
      <c r="L538">
        <f t="shared" si="57"/>
        <v>60</v>
      </c>
      <c r="M538">
        <f t="shared" si="58"/>
        <v>100</v>
      </c>
      <c r="N538">
        <f t="shared" si="59"/>
        <v>30</v>
      </c>
      <c r="O538">
        <f t="shared" si="60"/>
        <v>63</v>
      </c>
      <c r="P538" t="str">
        <f t="shared" si="61"/>
        <v>Needs Improvement</v>
      </c>
      <c r="Q538" t="str">
        <f t="shared" si="62"/>
        <v>Medium</v>
      </c>
    </row>
    <row r="539" spans="1:17" x14ac:dyDescent="0.3">
      <c r="A539">
        <v>1538</v>
      </c>
      <c r="B539">
        <v>6</v>
      </c>
      <c r="C539">
        <v>1</v>
      </c>
      <c r="D539">
        <v>3</v>
      </c>
      <c r="E539">
        <v>10</v>
      </c>
      <c r="F539">
        <v>3</v>
      </c>
      <c r="G539">
        <v>5</v>
      </c>
      <c r="H539">
        <v>245</v>
      </c>
      <c r="I539">
        <v>4</v>
      </c>
      <c r="J539">
        <v>41</v>
      </c>
      <c r="K539">
        <f t="shared" si="56"/>
        <v>4.5999999999999996</v>
      </c>
      <c r="L539">
        <f t="shared" si="57"/>
        <v>46</v>
      </c>
      <c r="M539">
        <f t="shared" si="58"/>
        <v>60</v>
      </c>
      <c r="N539">
        <f t="shared" si="59"/>
        <v>65</v>
      </c>
      <c r="O539">
        <f t="shared" si="60"/>
        <v>56</v>
      </c>
      <c r="P539" t="str">
        <f t="shared" si="61"/>
        <v>Not Ready</v>
      </c>
      <c r="Q539" t="str">
        <f t="shared" si="62"/>
        <v>Medium</v>
      </c>
    </row>
    <row r="540" spans="1:17" x14ac:dyDescent="0.3">
      <c r="A540">
        <v>1539</v>
      </c>
      <c r="B540">
        <v>3</v>
      </c>
      <c r="C540">
        <v>8</v>
      </c>
      <c r="D540">
        <v>1</v>
      </c>
      <c r="E540">
        <v>1</v>
      </c>
      <c r="F540">
        <v>10</v>
      </c>
      <c r="G540">
        <v>3</v>
      </c>
      <c r="H540">
        <v>249</v>
      </c>
      <c r="I540">
        <v>2</v>
      </c>
      <c r="J540">
        <v>41</v>
      </c>
      <c r="K540">
        <f t="shared" si="56"/>
        <v>4.5999999999999996</v>
      </c>
      <c r="L540">
        <f t="shared" si="57"/>
        <v>46</v>
      </c>
      <c r="M540">
        <f t="shared" si="58"/>
        <v>60</v>
      </c>
      <c r="N540">
        <f t="shared" si="59"/>
        <v>35</v>
      </c>
      <c r="O540">
        <f t="shared" si="60"/>
        <v>47</v>
      </c>
      <c r="P540" t="str">
        <f t="shared" si="61"/>
        <v>Not Ready</v>
      </c>
      <c r="Q540" t="str">
        <f t="shared" si="62"/>
        <v>Medium</v>
      </c>
    </row>
    <row r="541" spans="1:17" x14ac:dyDescent="0.3">
      <c r="A541">
        <v>1540</v>
      </c>
      <c r="B541">
        <v>8</v>
      </c>
      <c r="C541">
        <v>1</v>
      </c>
      <c r="D541">
        <v>9</v>
      </c>
      <c r="E541">
        <v>1</v>
      </c>
      <c r="F541">
        <v>9</v>
      </c>
      <c r="G541">
        <v>6</v>
      </c>
      <c r="H541">
        <v>331</v>
      </c>
      <c r="I541">
        <v>3</v>
      </c>
      <c r="J541">
        <v>92</v>
      </c>
      <c r="K541">
        <f t="shared" si="56"/>
        <v>5.6</v>
      </c>
      <c r="L541">
        <f t="shared" si="57"/>
        <v>56</v>
      </c>
      <c r="M541">
        <f t="shared" si="58"/>
        <v>80</v>
      </c>
      <c r="N541">
        <f t="shared" si="59"/>
        <v>60</v>
      </c>
      <c r="O541">
        <f t="shared" si="60"/>
        <v>64</v>
      </c>
      <c r="P541" t="str">
        <f t="shared" si="61"/>
        <v>Placement Ready</v>
      </c>
      <c r="Q541" t="str">
        <f t="shared" si="62"/>
        <v>Medium</v>
      </c>
    </row>
    <row r="542" spans="1:17" x14ac:dyDescent="0.3">
      <c r="A542">
        <v>1541</v>
      </c>
      <c r="B542">
        <v>10</v>
      </c>
      <c r="C542">
        <v>8</v>
      </c>
      <c r="D542">
        <v>6</v>
      </c>
      <c r="E542">
        <v>10</v>
      </c>
      <c r="F542">
        <v>8</v>
      </c>
      <c r="G542">
        <v>5</v>
      </c>
      <c r="H542">
        <v>227</v>
      </c>
      <c r="I542">
        <v>0</v>
      </c>
      <c r="J542">
        <v>83</v>
      </c>
      <c r="K542">
        <f t="shared" si="56"/>
        <v>8.4</v>
      </c>
      <c r="L542">
        <f t="shared" si="57"/>
        <v>84</v>
      </c>
      <c r="M542">
        <f t="shared" si="58"/>
        <v>60</v>
      </c>
      <c r="N542">
        <f t="shared" si="59"/>
        <v>25</v>
      </c>
      <c r="O542">
        <f t="shared" si="60"/>
        <v>59</v>
      </c>
      <c r="P542" t="str">
        <f t="shared" si="61"/>
        <v>Placement Ready</v>
      </c>
      <c r="Q542" t="str">
        <f t="shared" si="62"/>
        <v>Medium</v>
      </c>
    </row>
    <row r="543" spans="1:17" x14ac:dyDescent="0.3">
      <c r="A543">
        <v>1542</v>
      </c>
      <c r="B543">
        <v>8</v>
      </c>
      <c r="C543">
        <v>9</v>
      </c>
      <c r="D543">
        <v>10</v>
      </c>
      <c r="E543">
        <v>3</v>
      </c>
      <c r="F543">
        <v>4</v>
      </c>
      <c r="G543">
        <v>7</v>
      </c>
      <c r="H543">
        <v>199</v>
      </c>
      <c r="I543">
        <v>2</v>
      </c>
      <c r="J543">
        <v>57</v>
      </c>
      <c r="K543">
        <f t="shared" si="56"/>
        <v>6.8</v>
      </c>
      <c r="L543">
        <f t="shared" si="57"/>
        <v>68</v>
      </c>
      <c r="M543">
        <f t="shared" si="58"/>
        <v>60</v>
      </c>
      <c r="N543">
        <f t="shared" si="59"/>
        <v>55</v>
      </c>
      <c r="O543">
        <f t="shared" si="60"/>
        <v>62</v>
      </c>
      <c r="P543" t="str">
        <f t="shared" si="61"/>
        <v>Needs Improvement</v>
      </c>
      <c r="Q543" t="str">
        <f t="shared" si="62"/>
        <v>Medium</v>
      </c>
    </row>
    <row r="544" spans="1:17" x14ac:dyDescent="0.3">
      <c r="A544">
        <v>1543</v>
      </c>
      <c r="B544">
        <v>2</v>
      </c>
      <c r="C544">
        <v>9</v>
      </c>
      <c r="D544">
        <v>1</v>
      </c>
      <c r="E544">
        <v>1</v>
      </c>
      <c r="F544">
        <v>7</v>
      </c>
      <c r="G544">
        <v>6</v>
      </c>
      <c r="H544">
        <v>309</v>
      </c>
      <c r="I544">
        <v>2</v>
      </c>
      <c r="J544">
        <v>56</v>
      </c>
      <c r="K544">
        <f t="shared" si="56"/>
        <v>4</v>
      </c>
      <c r="L544">
        <f t="shared" si="57"/>
        <v>40</v>
      </c>
      <c r="M544">
        <f t="shared" si="58"/>
        <v>80</v>
      </c>
      <c r="N544">
        <f t="shared" si="59"/>
        <v>50</v>
      </c>
      <c r="O544">
        <f t="shared" si="60"/>
        <v>55</v>
      </c>
      <c r="P544" t="str">
        <f t="shared" si="61"/>
        <v>Needs Improvement</v>
      </c>
      <c r="Q544" t="str">
        <f t="shared" si="62"/>
        <v>Medium</v>
      </c>
    </row>
    <row r="545" spans="1:17" x14ac:dyDescent="0.3">
      <c r="A545">
        <v>1544</v>
      </c>
      <c r="B545">
        <v>5</v>
      </c>
      <c r="C545">
        <v>2</v>
      </c>
      <c r="D545">
        <v>3</v>
      </c>
      <c r="E545">
        <v>9</v>
      </c>
      <c r="F545">
        <v>7</v>
      </c>
      <c r="G545">
        <v>8</v>
      </c>
      <c r="H545">
        <v>171</v>
      </c>
      <c r="I545">
        <v>5</v>
      </c>
      <c r="J545">
        <v>53</v>
      </c>
      <c r="K545">
        <f t="shared" si="56"/>
        <v>5.2</v>
      </c>
      <c r="L545">
        <f t="shared" si="57"/>
        <v>52</v>
      </c>
      <c r="M545">
        <f t="shared" si="58"/>
        <v>60</v>
      </c>
      <c r="N545">
        <f t="shared" si="59"/>
        <v>90</v>
      </c>
      <c r="O545">
        <f t="shared" si="60"/>
        <v>66</v>
      </c>
      <c r="P545" t="str">
        <f t="shared" si="61"/>
        <v>Needs Improvement</v>
      </c>
      <c r="Q545" t="str">
        <f t="shared" si="62"/>
        <v>Medium</v>
      </c>
    </row>
    <row r="546" spans="1:17" x14ac:dyDescent="0.3">
      <c r="A546">
        <v>1545</v>
      </c>
      <c r="B546">
        <v>9</v>
      </c>
      <c r="C546">
        <v>1</v>
      </c>
      <c r="D546">
        <v>2</v>
      </c>
      <c r="E546">
        <v>7</v>
      </c>
      <c r="F546">
        <v>9</v>
      </c>
      <c r="G546">
        <v>3</v>
      </c>
      <c r="H546">
        <v>345</v>
      </c>
      <c r="I546">
        <v>4</v>
      </c>
      <c r="J546">
        <v>66</v>
      </c>
      <c r="K546">
        <f t="shared" si="56"/>
        <v>5.6</v>
      </c>
      <c r="L546">
        <f t="shared" si="57"/>
        <v>56</v>
      </c>
      <c r="M546">
        <f t="shared" si="58"/>
        <v>80</v>
      </c>
      <c r="N546">
        <f t="shared" si="59"/>
        <v>55</v>
      </c>
      <c r="O546">
        <f t="shared" si="60"/>
        <v>63</v>
      </c>
      <c r="P546" t="str">
        <f t="shared" si="61"/>
        <v>Needs Improvement</v>
      </c>
      <c r="Q546" t="str">
        <f t="shared" si="62"/>
        <v>Medium</v>
      </c>
    </row>
    <row r="547" spans="1:17" x14ac:dyDescent="0.3">
      <c r="A547">
        <v>1546</v>
      </c>
      <c r="B547">
        <v>6</v>
      </c>
      <c r="C547">
        <v>9</v>
      </c>
      <c r="D547">
        <v>8</v>
      </c>
      <c r="E547">
        <v>4</v>
      </c>
      <c r="F547">
        <v>1</v>
      </c>
      <c r="G547">
        <v>3</v>
      </c>
      <c r="H547">
        <v>177</v>
      </c>
      <c r="I547">
        <v>5</v>
      </c>
      <c r="J547">
        <v>62</v>
      </c>
      <c r="K547">
        <f t="shared" si="56"/>
        <v>5.6</v>
      </c>
      <c r="L547">
        <f t="shared" si="57"/>
        <v>56</v>
      </c>
      <c r="M547">
        <f t="shared" si="58"/>
        <v>60</v>
      </c>
      <c r="N547">
        <f t="shared" si="59"/>
        <v>65</v>
      </c>
      <c r="O547">
        <f t="shared" si="60"/>
        <v>60</v>
      </c>
      <c r="P547" t="str">
        <f t="shared" si="61"/>
        <v>Needs Improvement</v>
      </c>
      <c r="Q547" t="str">
        <f t="shared" si="62"/>
        <v>Medium</v>
      </c>
    </row>
    <row r="548" spans="1:17" x14ac:dyDescent="0.3">
      <c r="A548">
        <v>1547</v>
      </c>
      <c r="B548">
        <v>1</v>
      </c>
      <c r="C548">
        <v>8</v>
      </c>
      <c r="D548">
        <v>10</v>
      </c>
      <c r="E548">
        <v>2</v>
      </c>
      <c r="F548">
        <v>10</v>
      </c>
      <c r="G548">
        <v>3</v>
      </c>
      <c r="H548">
        <v>254</v>
      </c>
      <c r="I548">
        <v>5</v>
      </c>
      <c r="J548">
        <v>68</v>
      </c>
      <c r="K548">
        <f t="shared" si="56"/>
        <v>6.2</v>
      </c>
      <c r="L548">
        <f t="shared" si="57"/>
        <v>62</v>
      </c>
      <c r="M548">
        <f t="shared" si="58"/>
        <v>80</v>
      </c>
      <c r="N548">
        <f t="shared" si="59"/>
        <v>65</v>
      </c>
      <c r="O548">
        <f t="shared" si="60"/>
        <v>68</v>
      </c>
      <c r="P548" t="str">
        <f t="shared" si="61"/>
        <v>Needs Improvement</v>
      </c>
      <c r="Q548" t="str">
        <f t="shared" si="62"/>
        <v>Medium</v>
      </c>
    </row>
    <row r="549" spans="1:17" x14ac:dyDescent="0.3">
      <c r="A549">
        <v>1548</v>
      </c>
      <c r="B549">
        <v>4</v>
      </c>
      <c r="C549">
        <v>9</v>
      </c>
      <c r="D549">
        <v>7</v>
      </c>
      <c r="E549">
        <v>6</v>
      </c>
      <c r="F549">
        <v>5</v>
      </c>
      <c r="G549">
        <v>7</v>
      </c>
      <c r="H549">
        <v>287</v>
      </c>
      <c r="I549">
        <v>4</v>
      </c>
      <c r="J549">
        <v>75</v>
      </c>
      <c r="K549">
        <f t="shared" si="56"/>
        <v>6.2</v>
      </c>
      <c r="L549">
        <f t="shared" si="57"/>
        <v>62</v>
      </c>
      <c r="M549">
        <f t="shared" si="58"/>
        <v>80</v>
      </c>
      <c r="N549">
        <f t="shared" si="59"/>
        <v>75</v>
      </c>
      <c r="O549">
        <f t="shared" si="60"/>
        <v>71</v>
      </c>
      <c r="P549" t="str">
        <f t="shared" si="61"/>
        <v>Placement Ready</v>
      </c>
      <c r="Q549" t="str">
        <f t="shared" si="62"/>
        <v>High</v>
      </c>
    </row>
    <row r="550" spans="1:17" x14ac:dyDescent="0.3">
      <c r="A550">
        <v>1549</v>
      </c>
      <c r="B550">
        <v>10</v>
      </c>
      <c r="C550">
        <v>8</v>
      </c>
      <c r="D550">
        <v>3</v>
      </c>
      <c r="E550">
        <v>6</v>
      </c>
      <c r="F550">
        <v>9</v>
      </c>
      <c r="G550">
        <v>3</v>
      </c>
      <c r="H550">
        <v>105</v>
      </c>
      <c r="I550">
        <v>2</v>
      </c>
      <c r="J550">
        <v>42</v>
      </c>
      <c r="K550">
        <f t="shared" si="56"/>
        <v>7.2</v>
      </c>
      <c r="L550">
        <f t="shared" si="57"/>
        <v>72</v>
      </c>
      <c r="M550">
        <f t="shared" si="58"/>
        <v>40</v>
      </c>
      <c r="N550">
        <f t="shared" si="59"/>
        <v>35</v>
      </c>
      <c r="O550">
        <f t="shared" si="60"/>
        <v>51</v>
      </c>
      <c r="P550" t="str">
        <f t="shared" si="61"/>
        <v>Not Ready</v>
      </c>
      <c r="Q550" t="str">
        <f t="shared" si="62"/>
        <v>Medium</v>
      </c>
    </row>
    <row r="551" spans="1:17" x14ac:dyDescent="0.3">
      <c r="A551">
        <v>1550</v>
      </c>
      <c r="B551">
        <v>3</v>
      </c>
      <c r="C551">
        <v>7</v>
      </c>
      <c r="D551">
        <v>5</v>
      </c>
      <c r="E551">
        <v>1</v>
      </c>
      <c r="F551">
        <v>9</v>
      </c>
      <c r="G551">
        <v>7</v>
      </c>
      <c r="H551">
        <v>266</v>
      </c>
      <c r="I551">
        <v>1</v>
      </c>
      <c r="J551">
        <v>44</v>
      </c>
      <c r="K551">
        <f t="shared" si="56"/>
        <v>5</v>
      </c>
      <c r="L551">
        <f t="shared" si="57"/>
        <v>50</v>
      </c>
      <c r="M551">
        <f t="shared" si="58"/>
        <v>80</v>
      </c>
      <c r="N551">
        <f t="shared" si="59"/>
        <v>45</v>
      </c>
      <c r="O551">
        <f t="shared" si="60"/>
        <v>58</v>
      </c>
      <c r="P551" t="str">
        <f t="shared" si="61"/>
        <v>Not Ready</v>
      </c>
      <c r="Q551" t="str">
        <f t="shared" si="62"/>
        <v>Medium</v>
      </c>
    </row>
    <row r="552" spans="1:17" x14ac:dyDescent="0.3">
      <c r="A552">
        <v>1551</v>
      </c>
      <c r="B552">
        <v>9</v>
      </c>
      <c r="C552">
        <v>6</v>
      </c>
      <c r="D552">
        <v>9</v>
      </c>
      <c r="E552">
        <v>5</v>
      </c>
      <c r="F552">
        <v>6</v>
      </c>
      <c r="G552">
        <v>3</v>
      </c>
      <c r="H552">
        <v>467</v>
      </c>
      <c r="I552">
        <v>0</v>
      </c>
      <c r="J552">
        <v>77</v>
      </c>
      <c r="K552">
        <f t="shared" si="56"/>
        <v>7</v>
      </c>
      <c r="L552">
        <f t="shared" si="57"/>
        <v>70</v>
      </c>
      <c r="M552">
        <f t="shared" si="58"/>
        <v>100</v>
      </c>
      <c r="N552">
        <f t="shared" si="59"/>
        <v>15</v>
      </c>
      <c r="O552">
        <f t="shared" si="60"/>
        <v>63</v>
      </c>
      <c r="P552" t="str">
        <f t="shared" si="61"/>
        <v>Placement Ready</v>
      </c>
      <c r="Q552" t="str">
        <f t="shared" si="62"/>
        <v>Medium</v>
      </c>
    </row>
    <row r="553" spans="1:17" x14ac:dyDescent="0.3">
      <c r="A553">
        <v>1552</v>
      </c>
      <c r="B553">
        <v>9</v>
      </c>
      <c r="C553">
        <v>1</v>
      </c>
      <c r="D553">
        <v>1</v>
      </c>
      <c r="E553">
        <v>3</v>
      </c>
      <c r="F553">
        <v>7</v>
      </c>
      <c r="G553">
        <v>0</v>
      </c>
      <c r="H553">
        <v>131</v>
      </c>
      <c r="I553">
        <v>4</v>
      </c>
      <c r="J553">
        <v>67</v>
      </c>
      <c r="K553">
        <f t="shared" si="56"/>
        <v>4.2</v>
      </c>
      <c r="L553">
        <f t="shared" si="57"/>
        <v>42</v>
      </c>
      <c r="M553">
        <f t="shared" si="58"/>
        <v>40</v>
      </c>
      <c r="N553">
        <f t="shared" si="59"/>
        <v>40</v>
      </c>
      <c r="O553">
        <f t="shared" si="60"/>
        <v>41</v>
      </c>
      <c r="P553" t="str">
        <f t="shared" si="61"/>
        <v>Needs Improvement</v>
      </c>
      <c r="Q553" t="str">
        <f t="shared" si="62"/>
        <v>Medium</v>
      </c>
    </row>
    <row r="554" spans="1:17" x14ac:dyDescent="0.3">
      <c r="A554">
        <v>1553</v>
      </c>
      <c r="B554">
        <v>1</v>
      </c>
      <c r="C554">
        <v>4</v>
      </c>
      <c r="D554">
        <v>2</v>
      </c>
      <c r="E554">
        <v>9</v>
      </c>
      <c r="F554">
        <v>4</v>
      </c>
      <c r="G554">
        <v>1</v>
      </c>
      <c r="H554">
        <v>297</v>
      </c>
      <c r="I554">
        <v>5</v>
      </c>
      <c r="J554">
        <v>42</v>
      </c>
      <c r="K554">
        <f t="shared" si="56"/>
        <v>4</v>
      </c>
      <c r="L554">
        <f t="shared" si="57"/>
        <v>40</v>
      </c>
      <c r="M554">
        <f t="shared" si="58"/>
        <v>80</v>
      </c>
      <c r="N554">
        <f t="shared" si="59"/>
        <v>55</v>
      </c>
      <c r="O554">
        <f t="shared" si="60"/>
        <v>57</v>
      </c>
      <c r="P554" t="str">
        <f t="shared" si="61"/>
        <v>Not Ready</v>
      </c>
      <c r="Q554" t="str">
        <f t="shared" si="62"/>
        <v>Medium</v>
      </c>
    </row>
    <row r="555" spans="1:17" x14ac:dyDescent="0.3">
      <c r="A555">
        <v>1554</v>
      </c>
      <c r="B555">
        <v>3</v>
      </c>
      <c r="C555">
        <v>6</v>
      </c>
      <c r="D555">
        <v>6</v>
      </c>
      <c r="E555">
        <v>2</v>
      </c>
      <c r="F555">
        <v>6</v>
      </c>
      <c r="G555">
        <v>3</v>
      </c>
      <c r="H555">
        <v>304</v>
      </c>
      <c r="I555">
        <v>2</v>
      </c>
      <c r="J555">
        <v>53</v>
      </c>
      <c r="K555">
        <f t="shared" si="56"/>
        <v>4.5999999999999996</v>
      </c>
      <c r="L555">
        <f t="shared" si="57"/>
        <v>46</v>
      </c>
      <c r="M555">
        <f t="shared" si="58"/>
        <v>80</v>
      </c>
      <c r="N555">
        <f t="shared" si="59"/>
        <v>35</v>
      </c>
      <c r="O555">
        <f t="shared" si="60"/>
        <v>53</v>
      </c>
      <c r="P555" t="str">
        <f t="shared" si="61"/>
        <v>Needs Improvement</v>
      </c>
      <c r="Q555" t="str">
        <f t="shared" si="62"/>
        <v>Medium</v>
      </c>
    </row>
    <row r="556" spans="1:17" x14ac:dyDescent="0.3">
      <c r="A556">
        <v>1555</v>
      </c>
      <c r="B556">
        <v>9</v>
      </c>
      <c r="C556">
        <v>9</v>
      </c>
      <c r="D556">
        <v>10</v>
      </c>
      <c r="E556">
        <v>6</v>
      </c>
      <c r="F556">
        <v>3</v>
      </c>
      <c r="G556">
        <v>4</v>
      </c>
      <c r="H556">
        <v>416</v>
      </c>
      <c r="I556">
        <v>1</v>
      </c>
      <c r="J556">
        <v>87</v>
      </c>
      <c r="K556">
        <f t="shared" si="56"/>
        <v>7.4</v>
      </c>
      <c r="L556">
        <f t="shared" si="57"/>
        <v>74</v>
      </c>
      <c r="M556">
        <f t="shared" si="58"/>
        <v>100</v>
      </c>
      <c r="N556">
        <f t="shared" si="59"/>
        <v>30</v>
      </c>
      <c r="O556">
        <f t="shared" si="60"/>
        <v>69</v>
      </c>
      <c r="P556" t="str">
        <f t="shared" si="61"/>
        <v>Placement Ready</v>
      </c>
      <c r="Q556" t="str">
        <f t="shared" si="62"/>
        <v>Medium</v>
      </c>
    </row>
    <row r="557" spans="1:17" x14ac:dyDescent="0.3">
      <c r="A557">
        <v>1556</v>
      </c>
      <c r="B557">
        <v>8</v>
      </c>
      <c r="C557">
        <v>6</v>
      </c>
      <c r="D557">
        <v>3</v>
      </c>
      <c r="E557">
        <v>9</v>
      </c>
      <c r="F557">
        <v>1</v>
      </c>
      <c r="G557">
        <v>8</v>
      </c>
      <c r="H557">
        <v>249</v>
      </c>
      <c r="I557">
        <v>1</v>
      </c>
      <c r="J557">
        <v>75</v>
      </c>
      <c r="K557">
        <f t="shared" si="56"/>
        <v>5.4</v>
      </c>
      <c r="L557">
        <f t="shared" si="57"/>
        <v>54</v>
      </c>
      <c r="M557">
        <f t="shared" si="58"/>
        <v>60</v>
      </c>
      <c r="N557">
        <f t="shared" si="59"/>
        <v>50</v>
      </c>
      <c r="O557">
        <f t="shared" si="60"/>
        <v>55</v>
      </c>
      <c r="P557" t="str">
        <f t="shared" si="61"/>
        <v>Placement Ready</v>
      </c>
      <c r="Q557" t="str">
        <f t="shared" si="62"/>
        <v>Medium</v>
      </c>
    </row>
    <row r="558" spans="1:17" x14ac:dyDescent="0.3">
      <c r="A558">
        <v>1557</v>
      </c>
      <c r="B558">
        <v>10</v>
      </c>
      <c r="C558">
        <v>10</v>
      </c>
      <c r="D558">
        <v>7</v>
      </c>
      <c r="E558">
        <v>9</v>
      </c>
      <c r="F558">
        <v>10</v>
      </c>
      <c r="G558">
        <v>0</v>
      </c>
      <c r="H558">
        <v>375</v>
      </c>
      <c r="I558">
        <v>2</v>
      </c>
      <c r="J558">
        <v>65</v>
      </c>
      <c r="K558">
        <f t="shared" si="56"/>
        <v>9.1999999999999993</v>
      </c>
      <c r="L558">
        <f t="shared" si="57"/>
        <v>92</v>
      </c>
      <c r="M558">
        <f t="shared" si="58"/>
        <v>80</v>
      </c>
      <c r="N558">
        <f t="shared" si="59"/>
        <v>20</v>
      </c>
      <c r="O558">
        <f t="shared" si="60"/>
        <v>67</v>
      </c>
      <c r="P558" t="str">
        <f t="shared" si="61"/>
        <v>Needs Improvement</v>
      </c>
      <c r="Q558" t="str">
        <f t="shared" si="62"/>
        <v>Medium</v>
      </c>
    </row>
    <row r="559" spans="1:17" x14ac:dyDescent="0.3">
      <c r="A559">
        <v>1558</v>
      </c>
      <c r="B559">
        <v>10</v>
      </c>
      <c r="C559">
        <v>4</v>
      </c>
      <c r="D559">
        <v>7</v>
      </c>
      <c r="E559">
        <v>8</v>
      </c>
      <c r="F559">
        <v>9</v>
      </c>
      <c r="G559">
        <v>1</v>
      </c>
      <c r="H559">
        <v>243</v>
      </c>
      <c r="I559">
        <v>1</v>
      </c>
      <c r="J559">
        <v>67</v>
      </c>
      <c r="K559">
        <f t="shared" si="56"/>
        <v>7.6</v>
      </c>
      <c r="L559">
        <f t="shared" si="57"/>
        <v>76</v>
      </c>
      <c r="M559">
        <f t="shared" si="58"/>
        <v>60</v>
      </c>
      <c r="N559">
        <f t="shared" si="59"/>
        <v>15</v>
      </c>
      <c r="O559">
        <f t="shared" si="60"/>
        <v>53</v>
      </c>
      <c r="P559" t="str">
        <f t="shared" si="61"/>
        <v>Needs Improvement</v>
      </c>
      <c r="Q559" t="str">
        <f t="shared" si="62"/>
        <v>Medium</v>
      </c>
    </row>
    <row r="560" spans="1:17" x14ac:dyDescent="0.3">
      <c r="A560">
        <v>1559</v>
      </c>
      <c r="B560">
        <v>1</v>
      </c>
      <c r="C560">
        <v>10</v>
      </c>
      <c r="D560">
        <v>5</v>
      </c>
      <c r="E560">
        <v>2</v>
      </c>
      <c r="F560">
        <v>8</v>
      </c>
      <c r="G560">
        <v>1</v>
      </c>
      <c r="H560">
        <v>479</v>
      </c>
      <c r="I560">
        <v>2</v>
      </c>
      <c r="J560">
        <v>47</v>
      </c>
      <c r="K560">
        <f t="shared" si="56"/>
        <v>5.2</v>
      </c>
      <c r="L560">
        <f t="shared" si="57"/>
        <v>52</v>
      </c>
      <c r="M560">
        <f t="shared" si="58"/>
        <v>100</v>
      </c>
      <c r="N560">
        <f t="shared" si="59"/>
        <v>25</v>
      </c>
      <c r="O560">
        <f t="shared" si="60"/>
        <v>58</v>
      </c>
      <c r="P560" t="str">
        <f t="shared" si="61"/>
        <v>Not Ready</v>
      </c>
      <c r="Q560" t="str">
        <f t="shared" si="62"/>
        <v>Medium</v>
      </c>
    </row>
    <row r="561" spans="1:17" x14ac:dyDescent="0.3">
      <c r="A561">
        <v>1560</v>
      </c>
      <c r="B561">
        <v>6</v>
      </c>
      <c r="C561">
        <v>3</v>
      </c>
      <c r="D561">
        <v>5</v>
      </c>
      <c r="E561">
        <v>10</v>
      </c>
      <c r="F561">
        <v>7</v>
      </c>
      <c r="G561">
        <v>1</v>
      </c>
      <c r="H561">
        <v>324</v>
      </c>
      <c r="I561">
        <v>4</v>
      </c>
      <c r="J561">
        <v>57</v>
      </c>
      <c r="K561">
        <f t="shared" si="56"/>
        <v>6.2</v>
      </c>
      <c r="L561">
        <f t="shared" si="57"/>
        <v>62</v>
      </c>
      <c r="M561">
        <f t="shared" si="58"/>
        <v>80</v>
      </c>
      <c r="N561">
        <f t="shared" si="59"/>
        <v>45</v>
      </c>
      <c r="O561">
        <f t="shared" si="60"/>
        <v>62</v>
      </c>
      <c r="P561" t="str">
        <f t="shared" si="61"/>
        <v>Needs Improvement</v>
      </c>
      <c r="Q561" t="str">
        <f t="shared" si="62"/>
        <v>Medium</v>
      </c>
    </row>
    <row r="562" spans="1:17" x14ac:dyDescent="0.3">
      <c r="A562">
        <v>1561</v>
      </c>
      <c r="B562">
        <v>4</v>
      </c>
      <c r="C562">
        <v>7</v>
      </c>
      <c r="D562">
        <v>3</v>
      </c>
      <c r="E562">
        <v>2</v>
      </c>
      <c r="F562">
        <v>7</v>
      </c>
      <c r="G562">
        <v>5</v>
      </c>
      <c r="H562">
        <v>160</v>
      </c>
      <c r="I562">
        <v>5</v>
      </c>
      <c r="J562">
        <v>66</v>
      </c>
      <c r="K562">
        <f t="shared" si="56"/>
        <v>4.5999999999999996</v>
      </c>
      <c r="L562">
        <f t="shared" si="57"/>
        <v>46</v>
      </c>
      <c r="M562">
        <f t="shared" si="58"/>
        <v>60</v>
      </c>
      <c r="N562">
        <f t="shared" si="59"/>
        <v>75</v>
      </c>
      <c r="O562">
        <f t="shared" si="60"/>
        <v>59</v>
      </c>
      <c r="P562" t="str">
        <f t="shared" si="61"/>
        <v>Needs Improvement</v>
      </c>
      <c r="Q562" t="str">
        <f t="shared" si="62"/>
        <v>Medium</v>
      </c>
    </row>
    <row r="563" spans="1:17" x14ac:dyDescent="0.3">
      <c r="A563">
        <v>1562</v>
      </c>
      <c r="B563">
        <v>3</v>
      </c>
      <c r="C563">
        <v>5</v>
      </c>
      <c r="D563">
        <v>10</v>
      </c>
      <c r="E563">
        <v>8</v>
      </c>
      <c r="F563">
        <v>4</v>
      </c>
      <c r="G563">
        <v>2</v>
      </c>
      <c r="H563">
        <v>419</v>
      </c>
      <c r="I563">
        <v>1</v>
      </c>
      <c r="J563">
        <v>93</v>
      </c>
      <c r="K563">
        <f t="shared" si="56"/>
        <v>6</v>
      </c>
      <c r="L563">
        <f t="shared" si="57"/>
        <v>60</v>
      </c>
      <c r="M563">
        <f t="shared" si="58"/>
        <v>100</v>
      </c>
      <c r="N563">
        <f t="shared" si="59"/>
        <v>20</v>
      </c>
      <c r="O563">
        <f t="shared" si="60"/>
        <v>60</v>
      </c>
      <c r="P563" t="str">
        <f t="shared" si="61"/>
        <v>Placement Ready</v>
      </c>
      <c r="Q563" t="str">
        <f t="shared" si="62"/>
        <v>Medium</v>
      </c>
    </row>
    <row r="564" spans="1:17" x14ac:dyDescent="0.3">
      <c r="A564">
        <v>1563</v>
      </c>
      <c r="B564">
        <v>3</v>
      </c>
      <c r="C564">
        <v>7</v>
      </c>
      <c r="D564">
        <v>5</v>
      </c>
      <c r="E564">
        <v>2</v>
      </c>
      <c r="F564">
        <v>7</v>
      </c>
      <c r="G564">
        <v>6</v>
      </c>
      <c r="H564">
        <v>333</v>
      </c>
      <c r="I564">
        <v>0</v>
      </c>
      <c r="J564">
        <v>78</v>
      </c>
      <c r="K564">
        <f t="shared" si="56"/>
        <v>4.8</v>
      </c>
      <c r="L564">
        <f t="shared" si="57"/>
        <v>48</v>
      </c>
      <c r="M564">
        <f t="shared" si="58"/>
        <v>80</v>
      </c>
      <c r="N564">
        <f t="shared" si="59"/>
        <v>30</v>
      </c>
      <c r="O564">
        <f t="shared" si="60"/>
        <v>52</v>
      </c>
      <c r="P564" t="str">
        <f t="shared" si="61"/>
        <v>Placement Ready</v>
      </c>
      <c r="Q564" t="str">
        <f t="shared" si="62"/>
        <v>Medium</v>
      </c>
    </row>
    <row r="565" spans="1:17" x14ac:dyDescent="0.3">
      <c r="A565">
        <v>1564</v>
      </c>
      <c r="B565">
        <v>2</v>
      </c>
      <c r="C565">
        <v>3</v>
      </c>
      <c r="D565">
        <v>10</v>
      </c>
      <c r="E565">
        <v>8</v>
      </c>
      <c r="F565">
        <v>10</v>
      </c>
      <c r="G565">
        <v>2</v>
      </c>
      <c r="H565">
        <v>147</v>
      </c>
      <c r="I565">
        <v>0</v>
      </c>
      <c r="J565">
        <v>61</v>
      </c>
      <c r="K565">
        <f t="shared" si="56"/>
        <v>6.6</v>
      </c>
      <c r="L565">
        <f t="shared" si="57"/>
        <v>66</v>
      </c>
      <c r="M565">
        <f t="shared" si="58"/>
        <v>40</v>
      </c>
      <c r="N565">
        <f t="shared" si="59"/>
        <v>10</v>
      </c>
      <c r="O565">
        <f t="shared" si="60"/>
        <v>41</v>
      </c>
      <c r="P565" t="str">
        <f t="shared" si="61"/>
        <v>Needs Improvement</v>
      </c>
      <c r="Q565" t="str">
        <f t="shared" si="62"/>
        <v>Medium</v>
      </c>
    </row>
    <row r="566" spans="1:17" x14ac:dyDescent="0.3">
      <c r="A566">
        <v>1565</v>
      </c>
      <c r="B566">
        <v>5</v>
      </c>
      <c r="C566">
        <v>3</v>
      </c>
      <c r="D566">
        <v>4</v>
      </c>
      <c r="E566">
        <v>10</v>
      </c>
      <c r="F566">
        <v>6</v>
      </c>
      <c r="G566">
        <v>0</v>
      </c>
      <c r="H566">
        <v>164</v>
      </c>
      <c r="I566">
        <v>2</v>
      </c>
      <c r="J566">
        <v>81</v>
      </c>
      <c r="K566">
        <f t="shared" si="56"/>
        <v>5.6</v>
      </c>
      <c r="L566">
        <f t="shared" si="57"/>
        <v>56</v>
      </c>
      <c r="M566">
        <f t="shared" si="58"/>
        <v>60</v>
      </c>
      <c r="N566">
        <f t="shared" si="59"/>
        <v>20</v>
      </c>
      <c r="O566">
        <f t="shared" si="60"/>
        <v>46</v>
      </c>
      <c r="P566" t="str">
        <f t="shared" si="61"/>
        <v>Placement Ready</v>
      </c>
      <c r="Q566" t="str">
        <f t="shared" si="62"/>
        <v>Medium</v>
      </c>
    </row>
    <row r="567" spans="1:17" x14ac:dyDescent="0.3">
      <c r="A567">
        <v>1566</v>
      </c>
      <c r="B567">
        <v>8</v>
      </c>
      <c r="C567">
        <v>10</v>
      </c>
      <c r="D567">
        <v>7</v>
      </c>
      <c r="E567">
        <v>9</v>
      </c>
      <c r="F567">
        <v>1</v>
      </c>
      <c r="G567">
        <v>2</v>
      </c>
      <c r="H567">
        <v>261</v>
      </c>
      <c r="I567">
        <v>5</v>
      </c>
      <c r="J567">
        <v>59</v>
      </c>
      <c r="K567">
        <f t="shared" si="56"/>
        <v>7</v>
      </c>
      <c r="L567">
        <f t="shared" si="57"/>
        <v>70</v>
      </c>
      <c r="M567">
        <f t="shared" si="58"/>
        <v>80</v>
      </c>
      <c r="N567">
        <f t="shared" si="59"/>
        <v>60</v>
      </c>
      <c r="O567">
        <f t="shared" si="60"/>
        <v>70</v>
      </c>
      <c r="P567" t="str">
        <f t="shared" si="61"/>
        <v>Needs Improvement</v>
      </c>
      <c r="Q567" t="str">
        <f t="shared" si="62"/>
        <v>Medium</v>
      </c>
    </row>
    <row r="568" spans="1:17" x14ac:dyDescent="0.3">
      <c r="A568">
        <v>1567</v>
      </c>
      <c r="B568">
        <v>10</v>
      </c>
      <c r="C568">
        <v>6</v>
      </c>
      <c r="D568">
        <v>6</v>
      </c>
      <c r="E568">
        <v>4</v>
      </c>
      <c r="F568">
        <v>2</v>
      </c>
      <c r="G568">
        <v>4</v>
      </c>
      <c r="H568">
        <v>215</v>
      </c>
      <c r="I568">
        <v>0</v>
      </c>
      <c r="J568">
        <v>40</v>
      </c>
      <c r="K568">
        <f t="shared" si="56"/>
        <v>5.6</v>
      </c>
      <c r="L568">
        <f t="shared" si="57"/>
        <v>56</v>
      </c>
      <c r="M568">
        <f t="shared" si="58"/>
        <v>60</v>
      </c>
      <c r="N568">
        <f t="shared" si="59"/>
        <v>20</v>
      </c>
      <c r="O568">
        <f t="shared" si="60"/>
        <v>46</v>
      </c>
      <c r="P568" t="str">
        <f t="shared" si="61"/>
        <v>Not Ready</v>
      </c>
      <c r="Q568" t="str">
        <f t="shared" si="62"/>
        <v>Medium</v>
      </c>
    </row>
    <row r="569" spans="1:17" x14ac:dyDescent="0.3">
      <c r="A569">
        <v>1568</v>
      </c>
      <c r="B569">
        <v>1</v>
      </c>
      <c r="C569">
        <v>5</v>
      </c>
      <c r="D569">
        <v>8</v>
      </c>
      <c r="E569">
        <v>7</v>
      </c>
      <c r="F569">
        <v>2</v>
      </c>
      <c r="G569">
        <v>6</v>
      </c>
      <c r="H569">
        <v>362</v>
      </c>
      <c r="I569">
        <v>4</v>
      </c>
      <c r="J569">
        <v>95</v>
      </c>
      <c r="K569">
        <f t="shared" si="56"/>
        <v>4.5999999999999996</v>
      </c>
      <c r="L569">
        <f t="shared" si="57"/>
        <v>46</v>
      </c>
      <c r="M569">
        <f t="shared" si="58"/>
        <v>80</v>
      </c>
      <c r="N569">
        <f t="shared" si="59"/>
        <v>70</v>
      </c>
      <c r="O569">
        <f t="shared" si="60"/>
        <v>63</v>
      </c>
      <c r="P569" t="str">
        <f t="shared" si="61"/>
        <v>Placement Ready</v>
      </c>
      <c r="Q569" t="str">
        <f t="shared" si="62"/>
        <v>Medium</v>
      </c>
    </row>
    <row r="570" spans="1:17" x14ac:dyDescent="0.3">
      <c r="A570">
        <v>1569</v>
      </c>
      <c r="B570">
        <v>6</v>
      </c>
      <c r="C570">
        <v>2</v>
      </c>
      <c r="D570">
        <v>2</v>
      </c>
      <c r="E570">
        <v>8</v>
      </c>
      <c r="F570">
        <v>10</v>
      </c>
      <c r="G570">
        <v>0</v>
      </c>
      <c r="H570">
        <v>259</v>
      </c>
      <c r="I570">
        <v>5</v>
      </c>
      <c r="J570">
        <v>84</v>
      </c>
      <c r="K570">
        <f t="shared" si="56"/>
        <v>5.6</v>
      </c>
      <c r="L570">
        <f t="shared" si="57"/>
        <v>56</v>
      </c>
      <c r="M570">
        <f t="shared" si="58"/>
        <v>80</v>
      </c>
      <c r="N570">
        <f t="shared" si="59"/>
        <v>50</v>
      </c>
      <c r="O570">
        <f t="shared" si="60"/>
        <v>61</v>
      </c>
      <c r="P570" t="str">
        <f t="shared" si="61"/>
        <v>Placement Ready</v>
      </c>
      <c r="Q570" t="str">
        <f t="shared" si="62"/>
        <v>Medium</v>
      </c>
    </row>
    <row r="571" spans="1:17" x14ac:dyDescent="0.3">
      <c r="A571">
        <v>1570</v>
      </c>
      <c r="B571">
        <v>4</v>
      </c>
      <c r="C571">
        <v>10</v>
      </c>
      <c r="D571">
        <v>9</v>
      </c>
      <c r="E571">
        <v>8</v>
      </c>
      <c r="F571">
        <v>2</v>
      </c>
      <c r="G571">
        <v>0</v>
      </c>
      <c r="H571">
        <v>168</v>
      </c>
      <c r="I571">
        <v>2</v>
      </c>
      <c r="J571">
        <v>87</v>
      </c>
      <c r="K571">
        <f t="shared" si="56"/>
        <v>6.6</v>
      </c>
      <c r="L571">
        <f t="shared" si="57"/>
        <v>66</v>
      </c>
      <c r="M571">
        <f t="shared" si="58"/>
        <v>60</v>
      </c>
      <c r="N571">
        <f t="shared" si="59"/>
        <v>20</v>
      </c>
      <c r="O571">
        <f t="shared" si="60"/>
        <v>50</v>
      </c>
      <c r="P571" t="str">
        <f t="shared" si="61"/>
        <v>Placement Ready</v>
      </c>
      <c r="Q571" t="str">
        <f t="shared" si="62"/>
        <v>Medium</v>
      </c>
    </row>
    <row r="572" spans="1:17" x14ac:dyDescent="0.3">
      <c r="A572">
        <v>1571</v>
      </c>
      <c r="B572">
        <v>2</v>
      </c>
      <c r="C572">
        <v>2</v>
      </c>
      <c r="D572">
        <v>8</v>
      </c>
      <c r="E572">
        <v>4</v>
      </c>
      <c r="F572">
        <v>7</v>
      </c>
      <c r="G572">
        <v>5</v>
      </c>
      <c r="H572">
        <v>216</v>
      </c>
      <c r="I572">
        <v>3</v>
      </c>
      <c r="J572">
        <v>69</v>
      </c>
      <c r="K572">
        <f t="shared" si="56"/>
        <v>4.5999999999999996</v>
      </c>
      <c r="L572">
        <f t="shared" si="57"/>
        <v>46</v>
      </c>
      <c r="M572">
        <f t="shared" si="58"/>
        <v>60</v>
      </c>
      <c r="N572">
        <f t="shared" si="59"/>
        <v>55</v>
      </c>
      <c r="O572">
        <f t="shared" si="60"/>
        <v>53</v>
      </c>
      <c r="P572" t="str">
        <f t="shared" si="61"/>
        <v>Needs Improvement</v>
      </c>
      <c r="Q572" t="str">
        <f t="shared" si="62"/>
        <v>Medium</v>
      </c>
    </row>
    <row r="573" spans="1:17" x14ac:dyDescent="0.3">
      <c r="A573">
        <v>1572</v>
      </c>
      <c r="B573">
        <v>10</v>
      </c>
      <c r="C573">
        <v>3</v>
      </c>
      <c r="D573">
        <v>3</v>
      </c>
      <c r="E573">
        <v>6</v>
      </c>
      <c r="F573">
        <v>7</v>
      </c>
      <c r="G573">
        <v>4</v>
      </c>
      <c r="H573">
        <v>314</v>
      </c>
      <c r="I573">
        <v>0</v>
      </c>
      <c r="J573">
        <v>92</v>
      </c>
      <c r="K573">
        <f t="shared" si="56"/>
        <v>5.8</v>
      </c>
      <c r="L573">
        <f t="shared" si="57"/>
        <v>58</v>
      </c>
      <c r="M573">
        <f t="shared" si="58"/>
        <v>80</v>
      </c>
      <c r="N573">
        <f t="shared" si="59"/>
        <v>20</v>
      </c>
      <c r="O573">
        <f t="shared" si="60"/>
        <v>53</v>
      </c>
      <c r="P573" t="str">
        <f t="shared" si="61"/>
        <v>Placement Ready</v>
      </c>
      <c r="Q573" t="str">
        <f t="shared" si="62"/>
        <v>Medium</v>
      </c>
    </row>
    <row r="574" spans="1:17" x14ac:dyDescent="0.3">
      <c r="A574">
        <v>1573</v>
      </c>
      <c r="B574">
        <v>2</v>
      </c>
      <c r="C574">
        <v>10</v>
      </c>
      <c r="D574">
        <v>6</v>
      </c>
      <c r="E574">
        <v>9</v>
      </c>
      <c r="F574">
        <v>7</v>
      </c>
      <c r="G574">
        <v>6</v>
      </c>
      <c r="H574">
        <v>243</v>
      </c>
      <c r="I574">
        <v>0</v>
      </c>
      <c r="J574">
        <v>49</v>
      </c>
      <c r="K574">
        <f t="shared" si="56"/>
        <v>6.8</v>
      </c>
      <c r="L574">
        <f t="shared" si="57"/>
        <v>68</v>
      </c>
      <c r="M574">
        <f t="shared" si="58"/>
        <v>60</v>
      </c>
      <c r="N574">
        <f t="shared" si="59"/>
        <v>30</v>
      </c>
      <c r="O574">
        <f t="shared" si="60"/>
        <v>54</v>
      </c>
      <c r="P574" t="str">
        <f t="shared" si="61"/>
        <v>Not Ready</v>
      </c>
      <c r="Q574" t="str">
        <f t="shared" si="62"/>
        <v>Medium</v>
      </c>
    </row>
    <row r="575" spans="1:17" x14ac:dyDescent="0.3">
      <c r="A575">
        <v>1574</v>
      </c>
      <c r="B575">
        <v>5</v>
      </c>
      <c r="C575">
        <v>3</v>
      </c>
      <c r="D575">
        <v>6</v>
      </c>
      <c r="E575">
        <v>3</v>
      </c>
      <c r="F575">
        <v>3</v>
      </c>
      <c r="G575">
        <v>0</v>
      </c>
      <c r="H575">
        <v>212</v>
      </c>
      <c r="I575">
        <v>3</v>
      </c>
      <c r="J575">
        <v>80</v>
      </c>
      <c r="K575">
        <f t="shared" si="56"/>
        <v>4</v>
      </c>
      <c r="L575">
        <f t="shared" si="57"/>
        <v>40</v>
      </c>
      <c r="M575">
        <f t="shared" si="58"/>
        <v>60</v>
      </c>
      <c r="N575">
        <f t="shared" si="59"/>
        <v>30</v>
      </c>
      <c r="O575">
        <f t="shared" si="60"/>
        <v>43</v>
      </c>
      <c r="P575" t="str">
        <f t="shared" si="61"/>
        <v>Placement Ready</v>
      </c>
      <c r="Q575" t="str">
        <f t="shared" si="62"/>
        <v>Medium</v>
      </c>
    </row>
    <row r="576" spans="1:17" x14ac:dyDescent="0.3">
      <c r="A576">
        <v>1575</v>
      </c>
      <c r="B576">
        <v>3</v>
      </c>
      <c r="C576">
        <v>9</v>
      </c>
      <c r="D576">
        <v>9</v>
      </c>
      <c r="E576">
        <v>7</v>
      </c>
      <c r="F576">
        <v>2</v>
      </c>
      <c r="G576">
        <v>7</v>
      </c>
      <c r="H576">
        <v>95</v>
      </c>
      <c r="I576">
        <v>5</v>
      </c>
      <c r="J576">
        <v>70</v>
      </c>
      <c r="K576">
        <f t="shared" si="56"/>
        <v>6</v>
      </c>
      <c r="L576">
        <f t="shared" si="57"/>
        <v>60</v>
      </c>
      <c r="M576">
        <f t="shared" si="58"/>
        <v>40</v>
      </c>
      <c r="N576">
        <f t="shared" si="59"/>
        <v>85</v>
      </c>
      <c r="O576">
        <f t="shared" si="60"/>
        <v>62</v>
      </c>
      <c r="P576" t="str">
        <f t="shared" si="61"/>
        <v>Needs Improvement</v>
      </c>
      <c r="Q576" t="str">
        <f t="shared" si="62"/>
        <v>Medium</v>
      </c>
    </row>
    <row r="577" spans="1:17" x14ac:dyDescent="0.3">
      <c r="A577">
        <v>1576</v>
      </c>
      <c r="B577">
        <v>2</v>
      </c>
      <c r="C577">
        <v>4</v>
      </c>
      <c r="D577">
        <v>2</v>
      </c>
      <c r="E577">
        <v>2</v>
      </c>
      <c r="F577">
        <v>4</v>
      </c>
      <c r="G577">
        <v>7</v>
      </c>
      <c r="H577">
        <v>293</v>
      </c>
      <c r="I577">
        <v>0</v>
      </c>
      <c r="J577">
        <v>67</v>
      </c>
      <c r="K577">
        <f t="shared" si="56"/>
        <v>2.8</v>
      </c>
      <c r="L577">
        <f t="shared" si="57"/>
        <v>28</v>
      </c>
      <c r="M577">
        <f t="shared" si="58"/>
        <v>80</v>
      </c>
      <c r="N577">
        <f t="shared" si="59"/>
        <v>35</v>
      </c>
      <c r="O577">
        <f t="shared" si="60"/>
        <v>46</v>
      </c>
      <c r="P577" t="str">
        <f t="shared" si="61"/>
        <v>Needs Improvement</v>
      </c>
      <c r="Q577" t="str">
        <f t="shared" si="62"/>
        <v>Medium</v>
      </c>
    </row>
    <row r="578" spans="1:17" x14ac:dyDescent="0.3">
      <c r="A578">
        <v>1577</v>
      </c>
      <c r="B578">
        <v>1</v>
      </c>
      <c r="C578">
        <v>6</v>
      </c>
      <c r="D578">
        <v>10</v>
      </c>
      <c r="E578">
        <v>2</v>
      </c>
      <c r="F578">
        <v>7</v>
      </c>
      <c r="G578">
        <v>2</v>
      </c>
      <c r="H578">
        <v>467</v>
      </c>
      <c r="I578">
        <v>2</v>
      </c>
      <c r="J578">
        <v>79</v>
      </c>
      <c r="K578">
        <f t="shared" si="56"/>
        <v>5.2</v>
      </c>
      <c r="L578">
        <f t="shared" si="57"/>
        <v>52</v>
      </c>
      <c r="M578">
        <f t="shared" si="58"/>
        <v>100</v>
      </c>
      <c r="N578">
        <f t="shared" si="59"/>
        <v>30</v>
      </c>
      <c r="O578">
        <f t="shared" si="60"/>
        <v>60</v>
      </c>
      <c r="P578" t="str">
        <f t="shared" si="61"/>
        <v>Placement Ready</v>
      </c>
      <c r="Q578" t="str">
        <f t="shared" si="62"/>
        <v>Medium</v>
      </c>
    </row>
    <row r="579" spans="1:17" x14ac:dyDescent="0.3">
      <c r="A579">
        <v>1578</v>
      </c>
      <c r="B579">
        <v>7</v>
      </c>
      <c r="C579">
        <v>6</v>
      </c>
      <c r="D579">
        <v>1</v>
      </c>
      <c r="E579">
        <v>2</v>
      </c>
      <c r="F579">
        <v>6</v>
      </c>
      <c r="G579">
        <v>5</v>
      </c>
      <c r="H579">
        <v>393</v>
      </c>
      <c r="I579">
        <v>5</v>
      </c>
      <c r="J579">
        <v>90</v>
      </c>
      <c r="K579">
        <f t="shared" ref="K579:K642" si="63">AVERAGE(B579:F579)</f>
        <v>4.4000000000000004</v>
      </c>
      <c r="L579">
        <f t="shared" ref="L579:L642" si="64">K579*10</f>
        <v>44</v>
      </c>
      <c r="M579">
        <f t="shared" ref="M579:M642" si="65">IF(H579&gt;=400,100,IF(H579&gt;=250,80,IF(H579&gt;=150,60,40)))</f>
        <v>80</v>
      </c>
      <c r="N579">
        <f t="shared" ref="N579:N642" si="66">(G579*5)+(I579*10)</f>
        <v>75</v>
      </c>
      <c r="O579">
        <f t="shared" ref="O579:O642" si="67">ROUND((L579*0.4)+(M579*0.3)+(N579*0.3),0)</f>
        <v>64</v>
      </c>
      <c r="P579" t="str">
        <f t="shared" ref="P579:P642" si="68">IF(J579&gt;=75,"Placement Ready",IF(J579&gt;=50,"Needs Improvement","Not Ready"))</f>
        <v>Placement Ready</v>
      </c>
      <c r="Q579" t="str">
        <f t="shared" ref="Q579:Q642" si="69">IF(O579&lt;40,"Low",IF(O579&lt;=70,"Medium","High"))</f>
        <v>Medium</v>
      </c>
    </row>
    <row r="580" spans="1:17" x14ac:dyDescent="0.3">
      <c r="A580">
        <v>1579</v>
      </c>
      <c r="B580">
        <v>7</v>
      </c>
      <c r="C580">
        <v>7</v>
      </c>
      <c r="D580">
        <v>3</v>
      </c>
      <c r="E580">
        <v>5</v>
      </c>
      <c r="F580">
        <v>9</v>
      </c>
      <c r="G580">
        <v>1</v>
      </c>
      <c r="H580">
        <v>269</v>
      </c>
      <c r="I580">
        <v>3</v>
      </c>
      <c r="J580">
        <v>76</v>
      </c>
      <c r="K580">
        <f t="shared" si="63"/>
        <v>6.2</v>
      </c>
      <c r="L580">
        <f t="shared" si="64"/>
        <v>62</v>
      </c>
      <c r="M580">
        <f t="shared" si="65"/>
        <v>80</v>
      </c>
      <c r="N580">
        <f t="shared" si="66"/>
        <v>35</v>
      </c>
      <c r="O580">
        <f t="shared" si="67"/>
        <v>59</v>
      </c>
      <c r="P580" t="str">
        <f t="shared" si="68"/>
        <v>Placement Ready</v>
      </c>
      <c r="Q580" t="str">
        <f t="shared" si="69"/>
        <v>Medium</v>
      </c>
    </row>
    <row r="581" spans="1:17" x14ac:dyDescent="0.3">
      <c r="A581">
        <v>1580</v>
      </c>
      <c r="B581">
        <v>5</v>
      </c>
      <c r="C581">
        <v>6</v>
      </c>
      <c r="D581">
        <v>7</v>
      </c>
      <c r="E581">
        <v>4</v>
      </c>
      <c r="F581">
        <v>6</v>
      </c>
      <c r="G581">
        <v>1</v>
      </c>
      <c r="H581">
        <v>97</v>
      </c>
      <c r="I581">
        <v>4</v>
      </c>
      <c r="J581">
        <v>60</v>
      </c>
      <c r="K581">
        <f t="shared" si="63"/>
        <v>5.6</v>
      </c>
      <c r="L581">
        <f t="shared" si="64"/>
        <v>56</v>
      </c>
      <c r="M581">
        <f t="shared" si="65"/>
        <v>40</v>
      </c>
      <c r="N581">
        <f t="shared" si="66"/>
        <v>45</v>
      </c>
      <c r="O581">
        <f t="shared" si="67"/>
        <v>48</v>
      </c>
      <c r="P581" t="str">
        <f t="shared" si="68"/>
        <v>Needs Improvement</v>
      </c>
      <c r="Q581" t="str">
        <f t="shared" si="69"/>
        <v>Medium</v>
      </c>
    </row>
    <row r="582" spans="1:17" x14ac:dyDescent="0.3">
      <c r="A582">
        <v>1581</v>
      </c>
      <c r="B582">
        <v>9</v>
      </c>
      <c r="C582">
        <v>2</v>
      </c>
      <c r="D582">
        <v>9</v>
      </c>
      <c r="E582">
        <v>3</v>
      </c>
      <c r="F582">
        <v>10</v>
      </c>
      <c r="G582">
        <v>6</v>
      </c>
      <c r="H582">
        <v>498</v>
      </c>
      <c r="I582">
        <v>2</v>
      </c>
      <c r="J582">
        <v>41</v>
      </c>
      <c r="K582">
        <f t="shared" si="63"/>
        <v>6.6</v>
      </c>
      <c r="L582">
        <f t="shared" si="64"/>
        <v>66</v>
      </c>
      <c r="M582">
        <f t="shared" si="65"/>
        <v>100</v>
      </c>
      <c r="N582">
        <f t="shared" si="66"/>
        <v>50</v>
      </c>
      <c r="O582">
        <f t="shared" si="67"/>
        <v>71</v>
      </c>
      <c r="P582" t="str">
        <f t="shared" si="68"/>
        <v>Not Ready</v>
      </c>
      <c r="Q582" t="str">
        <f t="shared" si="69"/>
        <v>High</v>
      </c>
    </row>
    <row r="583" spans="1:17" x14ac:dyDescent="0.3">
      <c r="A583">
        <v>1582</v>
      </c>
      <c r="B583">
        <v>10</v>
      </c>
      <c r="C583">
        <v>6</v>
      </c>
      <c r="D583">
        <v>1</v>
      </c>
      <c r="E583">
        <v>5</v>
      </c>
      <c r="F583">
        <v>3</v>
      </c>
      <c r="G583">
        <v>0</v>
      </c>
      <c r="H583">
        <v>144</v>
      </c>
      <c r="I583">
        <v>0</v>
      </c>
      <c r="J583">
        <v>62</v>
      </c>
      <c r="K583">
        <f t="shared" si="63"/>
        <v>5</v>
      </c>
      <c r="L583">
        <f t="shared" si="64"/>
        <v>50</v>
      </c>
      <c r="M583">
        <f t="shared" si="65"/>
        <v>40</v>
      </c>
      <c r="N583">
        <f t="shared" si="66"/>
        <v>0</v>
      </c>
      <c r="O583">
        <f t="shared" si="67"/>
        <v>32</v>
      </c>
      <c r="P583" t="str">
        <f t="shared" si="68"/>
        <v>Needs Improvement</v>
      </c>
      <c r="Q583" t="str">
        <f t="shared" si="69"/>
        <v>Low</v>
      </c>
    </row>
    <row r="584" spans="1:17" x14ac:dyDescent="0.3">
      <c r="A584">
        <v>1583</v>
      </c>
      <c r="B584">
        <v>2</v>
      </c>
      <c r="C584">
        <v>10</v>
      </c>
      <c r="D584">
        <v>10</v>
      </c>
      <c r="E584">
        <v>2</v>
      </c>
      <c r="F584">
        <v>9</v>
      </c>
      <c r="G584">
        <v>1</v>
      </c>
      <c r="H584">
        <v>53</v>
      </c>
      <c r="I584">
        <v>4</v>
      </c>
      <c r="J584">
        <v>59</v>
      </c>
      <c r="K584">
        <f t="shared" si="63"/>
        <v>6.6</v>
      </c>
      <c r="L584">
        <f t="shared" si="64"/>
        <v>66</v>
      </c>
      <c r="M584">
        <f t="shared" si="65"/>
        <v>40</v>
      </c>
      <c r="N584">
        <f t="shared" si="66"/>
        <v>45</v>
      </c>
      <c r="O584">
        <f t="shared" si="67"/>
        <v>52</v>
      </c>
      <c r="P584" t="str">
        <f t="shared" si="68"/>
        <v>Needs Improvement</v>
      </c>
      <c r="Q584" t="str">
        <f t="shared" si="69"/>
        <v>Medium</v>
      </c>
    </row>
    <row r="585" spans="1:17" x14ac:dyDescent="0.3">
      <c r="A585">
        <v>1584</v>
      </c>
      <c r="B585">
        <v>10</v>
      </c>
      <c r="C585">
        <v>1</v>
      </c>
      <c r="D585">
        <v>1</v>
      </c>
      <c r="E585">
        <v>1</v>
      </c>
      <c r="F585">
        <v>10</v>
      </c>
      <c r="G585">
        <v>3</v>
      </c>
      <c r="H585">
        <v>213</v>
      </c>
      <c r="I585">
        <v>5</v>
      </c>
      <c r="J585">
        <v>40</v>
      </c>
      <c r="K585">
        <f t="shared" si="63"/>
        <v>4.5999999999999996</v>
      </c>
      <c r="L585">
        <f t="shared" si="64"/>
        <v>46</v>
      </c>
      <c r="M585">
        <f t="shared" si="65"/>
        <v>60</v>
      </c>
      <c r="N585">
        <f t="shared" si="66"/>
        <v>65</v>
      </c>
      <c r="O585">
        <f t="shared" si="67"/>
        <v>56</v>
      </c>
      <c r="P585" t="str">
        <f t="shared" si="68"/>
        <v>Not Ready</v>
      </c>
      <c r="Q585" t="str">
        <f t="shared" si="69"/>
        <v>Medium</v>
      </c>
    </row>
    <row r="586" spans="1:17" x14ac:dyDescent="0.3">
      <c r="A586">
        <v>1585</v>
      </c>
      <c r="B586">
        <v>7</v>
      </c>
      <c r="C586">
        <v>8</v>
      </c>
      <c r="D586">
        <v>8</v>
      </c>
      <c r="E586">
        <v>1</v>
      </c>
      <c r="F586">
        <v>5</v>
      </c>
      <c r="G586">
        <v>3</v>
      </c>
      <c r="H586">
        <v>97</v>
      </c>
      <c r="I586">
        <v>4</v>
      </c>
      <c r="J586">
        <v>49</v>
      </c>
      <c r="K586">
        <f t="shared" si="63"/>
        <v>5.8</v>
      </c>
      <c r="L586">
        <f t="shared" si="64"/>
        <v>58</v>
      </c>
      <c r="M586">
        <f t="shared" si="65"/>
        <v>40</v>
      </c>
      <c r="N586">
        <f t="shared" si="66"/>
        <v>55</v>
      </c>
      <c r="O586">
        <f t="shared" si="67"/>
        <v>52</v>
      </c>
      <c r="P586" t="str">
        <f t="shared" si="68"/>
        <v>Not Ready</v>
      </c>
      <c r="Q586" t="str">
        <f t="shared" si="69"/>
        <v>Medium</v>
      </c>
    </row>
    <row r="587" spans="1:17" x14ac:dyDescent="0.3">
      <c r="A587">
        <v>1586</v>
      </c>
      <c r="B587">
        <v>2</v>
      </c>
      <c r="C587">
        <v>6</v>
      </c>
      <c r="D587">
        <v>7</v>
      </c>
      <c r="E587">
        <v>5</v>
      </c>
      <c r="F587">
        <v>6</v>
      </c>
      <c r="G587">
        <v>7</v>
      </c>
      <c r="H587">
        <v>60</v>
      </c>
      <c r="I587">
        <v>1</v>
      </c>
      <c r="J587">
        <v>81</v>
      </c>
      <c r="K587">
        <f t="shared" si="63"/>
        <v>5.2</v>
      </c>
      <c r="L587">
        <f t="shared" si="64"/>
        <v>52</v>
      </c>
      <c r="M587">
        <f t="shared" si="65"/>
        <v>40</v>
      </c>
      <c r="N587">
        <f t="shared" si="66"/>
        <v>45</v>
      </c>
      <c r="O587">
        <f t="shared" si="67"/>
        <v>46</v>
      </c>
      <c r="P587" t="str">
        <f t="shared" si="68"/>
        <v>Placement Ready</v>
      </c>
      <c r="Q587" t="str">
        <f t="shared" si="69"/>
        <v>Medium</v>
      </c>
    </row>
    <row r="588" spans="1:17" x14ac:dyDescent="0.3">
      <c r="A588">
        <v>1587</v>
      </c>
      <c r="B588">
        <v>2</v>
      </c>
      <c r="C588">
        <v>8</v>
      </c>
      <c r="D588">
        <v>3</v>
      </c>
      <c r="E588">
        <v>10</v>
      </c>
      <c r="F588">
        <v>2</v>
      </c>
      <c r="G588">
        <v>0</v>
      </c>
      <c r="H588">
        <v>489</v>
      </c>
      <c r="I588">
        <v>3</v>
      </c>
      <c r="J588">
        <v>40</v>
      </c>
      <c r="K588">
        <f t="shared" si="63"/>
        <v>5</v>
      </c>
      <c r="L588">
        <f t="shared" si="64"/>
        <v>50</v>
      </c>
      <c r="M588">
        <f t="shared" si="65"/>
        <v>100</v>
      </c>
      <c r="N588">
        <f t="shared" si="66"/>
        <v>30</v>
      </c>
      <c r="O588">
        <f t="shared" si="67"/>
        <v>59</v>
      </c>
      <c r="P588" t="str">
        <f t="shared" si="68"/>
        <v>Not Ready</v>
      </c>
      <c r="Q588" t="str">
        <f t="shared" si="69"/>
        <v>Medium</v>
      </c>
    </row>
    <row r="589" spans="1:17" x14ac:dyDescent="0.3">
      <c r="A589">
        <v>1588</v>
      </c>
      <c r="B589">
        <v>8</v>
      </c>
      <c r="C589">
        <v>4</v>
      </c>
      <c r="D589">
        <v>8</v>
      </c>
      <c r="E589">
        <v>5</v>
      </c>
      <c r="F589">
        <v>10</v>
      </c>
      <c r="G589">
        <v>0</v>
      </c>
      <c r="H589">
        <v>263</v>
      </c>
      <c r="I589">
        <v>4</v>
      </c>
      <c r="J589">
        <v>69</v>
      </c>
      <c r="K589">
        <f t="shared" si="63"/>
        <v>7</v>
      </c>
      <c r="L589">
        <f t="shared" si="64"/>
        <v>70</v>
      </c>
      <c r="M589">
        <f t="shared" si="65"/>
        <v>80</v>
      </c>
      <c r="N589">
        <f t="shared" si="66"/>
        <v>40</v>
      </c>
      <c r="O589">
        <f t="shared" si="67"/>
        <v>64</v>
      </c>
      <c r="P589" t="str">
        <f t="shared" si="68"/>
        <v>Needs Improvement</v>
      </c>
      <c r="Q589" t="str">
        <f t="shared" si="69"/>
        <v>Medium</v>
      </c>
    </row>
    <row r="590" spans="1:17" x14ac:dyDescent="0.3">
      <c r="A590">
        <v>1589</v>
      </c>
      <c r="B590">
        <v>7</v>
      </c>
      <c r="C590">
        <v>3</v>
      </c>
      <c r="D590">
        <v>3</v>
      </c>
      <c r="E590">
        <v>7</v>
      </c>
      <c r="F590">
        <v>2</v>
      </c>
      <c r="G590">
        <v>7</v>
      </c>
      <c r="H590">
        <v>242</v>
      </c>
      <c r="I590">
        <v>2</v>
      </c>
      <c r="J590">
        <v>56</v>
      </c>
      <c r="K590">
        <f t="shared" si="63"/>
        <v>4.4000000000000004</v>
      </c>
      <c r="L590">
        <f t="shared" si="64"/>
        <v>44</v>
      </c>
      <c r="M590">
        <f t="shared" si="65"/>
        <v>60</v>
      </c>
      <c r="N590">
        <f t="shared" si="66"/>
        <v>55</v>
      </c>
      <c r="O590">
        <f t="shared" si="67"/>
        <v>52</v>
      </c>
      <c r="P590" t="str">
        <f t="shared" si="68"/>
        <v>Needs Improvement</v>
      </c>
      <c r="Q590" t="str">
        <f t="shared" si="69"/>
        <v>Medium</v>
      </c>
    </row>
    <row r="591" spans="1:17" x14ac:dyDescent="0.3">
      <c r="A591">
        <v>1590</v>
      </c>
      <c r="B591">
        <v>8</v>
      </c>
      <c r="C591">
        <v>8</v>
      </c>
      <c r="D591">
        <v>9</v>
      </c>
      <c r="E591">
        <v>3</v>
      </c>
      <c r="F591">
        <v>2</v>
      </c>
      <c r="G591">
        <v>6</v>
      </c>
      <c r="H591">
        <v>293</v>
      </c>
      <c r="I591">
        <v>2</v>
      </c>
      <c r="J591">
        <v>60</v>
      </c>
      <c r="K591">
        <f t="shared" si="63"/>
        <v>6</v>
      </c>
      <c r="L591">
        <f t="shared" si="64"/>
        <v>60</v>
      </c>
      <c r="M591">
        <f t="shared" si="65"/>
        <v>80</v>
      </c>
      <c r="N591">
        <f t="shared" si="66"/>
        <v>50</v>
      </c>
      <c r="O591">
        <f t="shared" si="67"/>
        <v>63</v>
      </c>
      <c r="P591" t="str">
        <f t="shared" si="68"/>
        <v>Needs Improvement</v>
      </c>
      <c r="Q591" t="str">
        <f t="shared" si="69"/>
        <v>Medium</v>
      </c>
    </row>
    <row r="592" spans="1:17" x14ac:dyDescent="0.3">
      <c r="A592">
        <v>1591</v>
      </c>
      <c r="B592">
        <v>6</v>
      </c>
      <c r="C592">
        <v>10</v>
      </c>
      <c r="D592">
        <v>8</v>
      </c>
      <c r="E592">
        <v>2</v>
      </c>
      <c r="F592">
        <v>9</v>
      </c>
      <c r="G592">
        <v>3</v>
      </c>
      <c r="H592">
        <v>134</v>
      </c>
      <c r="I592">
        <v>0</v>
      </c>
      <c r="J592">
        <v>78</v>
      </c>
      <c r="K592">
        <f t="shared" si="63"/>
        <v>7</v>
      </c>
      <c r="L592">
        <f t="shared" si="64"/>
        <v>70</v>
      </c>
      <c r="M592">
        <f t="shared" si="65"/>
        <v>40</v>
      </c>
      <c r="N592">
        <f t="shared" si="66"/>
        <v>15</v>
      </c>
      <c r="O592">
        <f t="shared" si="67"/>
        <v>45</v>
      </c>
      <c r="P592" t="str">
        <f t="shared" si="68"/>
        <v>Placement Ready</v>
      </c>
      <c r="Q592" t="str">
        <f t="shared" si="69"/>
        <v>Medium</v>
      </c>
    </row>
    <row r="593" spans="1:17" x14ac:dyDescent="0.3">
      <c r="A593">
        <v>1592</v>
      </c>
      <c r="B593">
        <v>2</v>
      </c>
      <c r="C593">
        <v>6</v>
      </c>
      <c r="D593">
        <v>6</v>
      </c>
      <c r="E593">
        <v>1</v>
      </c>
      <c r="F593">
        <v>7</v>
      </c>
      <c r="G593">
        <v>4</v>
      </c>
      <c r="H593">
        <v>412</v>
      </c>
      <c r="I593">
        <v>4</v>
      </c>
      <c r="J593">
        <v>48</v>
      </c>
      <c r="K593">
        <f t="shared" si="63"/>
        <v>4.4000000000000004</v>
      </c>
      <c r="L593">
        <f t="shared" si="64"/>
        <v>44</v>
      </c>
      <c r="M593">
        <f t="shared" si="65"/>
        <v>100</v>
      </c>
      <c r="N593">
        <f t="shared" si="66"/>
        <v>60</v>
      </c>
      <c r="O593">
        <f t="shared" si="67"/>
        <v>66</v>
      </c>
      <c r="P593" t="str">
        <f t="shared" si="68"/>
        <v>Not Ready</v>
      </c>
      <c r="Q593" t="str">
        <f t="shared" si="69"/>
        <v>Medium</v>
      </c>
    </row>
    <row r="594" spans="1:17" x14ac:dyDescent="0.3">
      <c r="A594">
        <v>1593</v>
      </c>
      <c r="B594">
        <v>6</v>
      </c>
      <c r="C594">
        <v>5</v>
      </c>
      <c r="D594">
        <v>10</v>
      </c>
      <c r="E594">
        <v>7</v>
      </c>
      <c r="F594">
        <v>8</v>
      </c>
      <c r="G594">
        <v>3</v>
      </c>
      <c r="H594">
        <v>452</v>
      </c>
      <c r="I594">
        <v>5</v>
      </c>
      <c r="J594">
        <v>84</v>
      </c>
      <c r="K594">
        <f t="shared" si="63"/>
        <v>7.2</v>
      </c>
      <c r="L594">
        <f t="shared" si="64"/>
        <v>72</v>
      </c>
      <c r="M594">
        <f t="shared" si="65"/>
        <v>100</v>
      </c>
      <c r="N594">
        <f t="shared" si="66"/>
        <v>65</v>
      </c>
      <c r="O594">
        <f t="shared" si="67"/>
        <v>78</v>
      </c>
      <c r="P594" t="str">
        <f t="shared" si="68"/>
        <v>Placement Ready</v>
      </c>
      <c r="Q594" t="str">
        <f t="shared" si="69"/>
        <v>High</v>
      </c>
    </row>
    <row r="595" spans="1:17" x14ac:dyDescent="0.3">
      <c r="A595">
        <v>1594</v>
      </c>
      <c r="B595">
        <v>8</v>
      </c>
      <c r="C595">
        <v>3</v>
      </c>
      <c r="D595">
        <v>9</v>
      </c>
      <c r="E595">
        <v>3</v>
      </c>
      <c r="F595">
        <v>6</v>
      </c>
      <c r="G595">
        <v>6</v>
      </c>
      <c r="H595">
        <v>340</v>
      </c>
      <c r="I595">
        <v>5</v>
      </c>
      <c r="J595">
        <v>51</v>
      </c>
      <c r="K595">
        <f t="shared" si="63"/>
        <v>5.8</v>
      </c>
      <c r="L595">
        <f t="shared" si="64"/>
        <v>58</v>
      </c>
      <c r="M595">
        <f t="shared" si="65"/>
        <v>80</v>
      </c>
      <c r="N595">
        <f t="shared" si="66"/>
        <v>80</v>
      </c>
      <c r="O595">
        <f t="shared" si="67"/>
        <v>71</v>
      </c>
      <c r="P595" t="str">
        <f t="shared" si="68"/>
        <v>Needs Improvement</v>
      </c>
      <c r="Q595" t="str">
        <f t="shared" si="69"/>
        <v>High</v>
      </c>
    </row>
    <row r="596" spans="1:17" x14ac:dyDescent="0.3">
      <c r="A596">
        <v>1595</v>
      </c>
      <c r="B596">
        <v>4</v>
      </c>
      <c r="C596">
        <v>2</v>
      </c>
      <c r="D596">
        <v>1</v>
      </c>
      <c r="E596">
        <v>8</v>
      </c>
      <c r="F596">
        <v>1</v>
      </c>
      <c r="G596">
        <v>6</v>
      </c>
      <c r="H596">
        <v>185</v>
      </c>
      <c r="I596">
        <v>1</v>
      </c>
      <c r="J596">
        <v>91</v>
      </c>
      <c r="K596">
        <f t="shared" si="63"/>
        <v>3.2</v>
      </c>
      <c r="L596">
        <f t="shared" si="64"/>
        <v>32</v>
      </c>
      <c r="M596">
        <f t="shared" si="65"/>
        <v>60</v>
      </c>
      <c r="N596">
        <f t="shared" si="66"/>
        <v>40</v>
      </c>
      <c r="O596">
        <f t="shared" si="67"/>
        <v>43</v>
      </c>
      <c r="P596" t="str">
        <f t="shared" si="68"/>
        <v>Placement Ready</v>
      </c>
      <c r="Q596" t="str">
        <f t="shared" si="69"/>
        <v>Medium</v>
      </c>
    </row>
    <row r="597" spans="1:17" x14ac:dyDescent="0.3">
      <c r="A597">
        <v>1596</v>
      </c>
      <c r="B597">
        <v>3</v>
      </c>
      <c r="C597">
        <v>5</v>
      </c>
      <c r="D597">
        <v>7</v>
      </c>
      <c r="E597">
        <v>6</v>
      </c>
      <c r="F597">
        <v>4</v>
      </c>
      <c r="G597">
        <v>4</v>
      </c>
      <c r="H597">
        <v>264</v>
      </c>
      <c r="I597">
        <v>0</v>
      </c>
      <c r="J597">
        <v>90</v>
      </c>
      <c r="K597">
        <f t="shared" si="63"/>
        <v>5</v>
      </c>
      <c r="L597">
        <f t="shared" si="64"/>
        <v>50</v>
      </c>
      <c r="M597">
        <f t="shared" si="65"/>
        <v>80</v>
      </c>
      <c r="N597">
        <f t="shared" si="66"/>
        <v>20</v>
      </c>
      <c r="O597">
        <f t="shared" si="67"/>
        <v>50</v>
      </c>
      <c r="P597" t="str">
        <f t="shared" si="68"/>
        <v>Placement Ready</v>
      </c>
      <c r="Q597" t="str">
        <f t="shared" si="69"/>
        <v>Medium</v>
      </c>
    </row>
    <row r="598" spans="1:17" x14ac:dyDescent="0.3">
      <c r="A598">
        <v>1597</v>
      </c>
      <c r="B598">
        <v>2</v>
      </c>
      <c r="C598">
        <v>2</v>
      </c>
      <c r="D598">
        <v>5</v>
      </c>
      <c r="E598">
        <v>9</v>
      </c>
      <c r="F598">
        <v>4</v>
      </c>
      <c r="G598">
        <v>4</v>
      </c>
      <c r="H598">
        <v>102</v>
      </c>
      <c r="I598">
        <v>4</v>
      </c>
      <c r="J598">
        <v>57</v>
      </c>
      <c r="K598">
        <f t="shared" si="63"/>
        <v>4.4000000000000004</v>
      </c>
      <c r="L598">
        <f t="shared" si="64"/>
        <v>44</v>
      </c>
      <c r="M598">
        <f t="shared" si="65"/>
        <v>40</v>
      </c>
      <c r="N598">
        <f t="shared" si="66"/>
        <v>60</v>
      </c>
      <c r="O598">
        <f t="shared" si="67"/>
        <v>48</v>
      </c>
      <c r="P598" t="str">
        <f t="shared" si="68"/>
        <v>Needs Improvement</v>
      </c>
      <c r="Q598" t="str">
        <f t="shared" si="69"/>
        <v>Medium</v>
      </c>
    </row>
    <row r="599" spans="1:17" x14ac:dyDescent="0.3">
      <c r="A599">
        <v>1598</v>
      </c>
      <c r="B599">
        <v>10</v>
      </c>
      <c r="C599">
        <v>5</v>
      </c>
      <c r="D599">
        <v>1</v>
      </c>
      <c r="E599">
        <v>7</v>
      </c>
      <c r="F599">
        <v>2</v>
      </c>
      <c r="G599">
        <v>8</v>
      </c>
      <c r="H599">
        <v>224</v>
      </c>
      <c r="I599">
        <v>0</v>
      </c>
      <c r="J599">
        <v>75</v>
      </c>
      <c r="K599">
        <f t="shared" si="63"/>
        <v>5</v>
      </c>
      <c r="L599">
        <f t="shared" si="64"/>
        <v>50</v>
      </c>
      <c r="M599">
        <f t="shared" si="65"/>
        <v>60</v>
      </c>
      <c r="N599">
        <f t="shared" si="66"/>
        <v>40</v>
      </c>
      <c r="O599">
        <f t="shared" si="67"/>
        <v>50</v>
      </c>
      <c r="P599" t="str">
        <f t="shared" si="68"/>
        <v>Placement Ready</v>
      </c>
      <c r="Q599" t="str">
        <f t="shared" si="69"/>
        <v>Medium</v>
      </c>
    </row>
    <row r="600" spans="1:17" x14ac:dyDescent="0.3">
      <c r="A600">
        <v>1599</v>
      </c>
      <c r="B600">
        <v>2</v>
      </c>
      <c r="C600">
        <v>10</v>
      </c>
      <c r="D600">
        <v>10</v>
      </c>
      <c r="E600">
        <v>5</v>
      </c>
      <c r="F600">
        <v>5</v>
      </c>
      <c r="G600">
        <v>4</v>
      </c>
      <c r="H600">
        <v>460</v>
      </c>
      <c r="I600">
        <v>4</v>
      </c>
      <c r="J600">
        <v>89</v>
      </c>
      <c r="K600">
        <f t="shared" si="63"/>
        <v>6.4</v>
      </c>
      <c r="L600">
        <f t="shared" si="64"/>
        <v>64</v>
      </c>
      <c r="M600">
        <f t="shared" si="65"/>
        <v>100</v>
      </c>
      <c r="N600">
        <f t="shared" si="66"/>
        <v>60</v>
      </c>
      <c r="O600">
        <f t="shared" si="67"/>
        <v>74</v>
      </c>
      <c r="P600" t="str">
        <f t="shared" si="68"/>
        <v>Placement Ready</v>
      </c>
      <c r="Q600" t="str">
        <f t="shared" si="69"/>
        <v>High</v>
      </c>
    </row>
    <row r="601" spans="1:17" x14ac:dyDescent="0.3">
      <c r="A601">
        <v>1600</v>
      </c>
      <c r="B601">
        <v>6</v>
      </c>
      <c r="C601">
        <v>4</v>
      </c>
      <c r="D601">
        <v>9</v>
      </c>
      <c r="E601">
        <v>1</v>
      </c>
      <c r="F601">
        <v>10</v>
      </c>
      <c r="G601">
        <v>8</v>
      </c>
      <c r="H601">
        <v>489</v>
      </c>
      <c r="I601">
        <v>2</v>
      </c>
      <c r="J601">
        <v>65</v>
      </c>
      <c r="K601">
        <f t="shared" si="63"/>
        <v>6</v>
      </c>
      <c r="L601">
        <f t="shared" si="64"/>
        <v>60</v>
      </c>
      <c r="M601">
        <f t="shared" si="65"/>
        <v>100</v>
      </c>
      <c r="N601">
        <f t="shared" si="66"/>
        <v>60</v>
      </c>
      <c r="O601">
        <f t="shared" si="67"/>
        <v>72</v>
      </c>
      <c r="P601" t="str">
        <f t="shared" si="68"/>
        <v>Needs Improvement</v>
      </c>
      <c r="Q601" t="str">
        <f t="shared" si="69"/>
        <v>High</v>
      </c>
    </row>
    <row r="602" spans="1:17" x14ac:dyDescent="0.3">
      <c r="A602">
        <v>1601</v>
      </c>
      <c r="B602">
        <v>1</v>
      </c>
      <c r="C602">
        <v>1</v>
      </c>
      <c r="D602">
        <v>9</v>
      </c>
      <c r="E602">
        <v>8</v>
      </c>
      <c r="F602">
        <v>7</v>
      </c>
      <c r="G602">
        <v>5</v>
      </c>
      <c r="H602">
        <v>422</v>
      </c>
      <c r="I602">
        <v>2</v>
      </c>
      <c r="J602">
        <v>81</v>
      </c>
      <c r="K602">
        <f t="shared" si="63"/>
        <v>5.2</v>
      </c>
      <c r="L602">
        <f t="shared" si="64"/>
        <v>52</v>
      </c>
      <c r="M602">
        <f t="shared" si="65"/>
        <v>100</v>
      </c>
      <c r="N602">
        <f t="shared" si="66"/>
        <v>45</v>
      </c>
      <c r="O602">
        <f t="shared" si="67"/>
        <v>64</v>
      </c>
      <c r="P602" t="str">
        <f t="shared" si="68"/>
        <v>Placement Ready</v>
      </c>
      <c r="Q602" t="str">
        <f t="shared" si="69"/>
        <v>Medium</v>
      </c>
    </row>
    <row r="603" spans="1:17" x14ac:dyDescent="0.3">
      <c r="A603">
        <v>1602</v>
      </c>
      <c r="B603">
        <v>8</v>
      </c>
      <c r="C603">
        <v>5</v>
      </c>
      <c r="D603">
        <v>5</v>
      </c>
      <c r="E603">
        <v>6</v>
      </c>
      <c r="F603">
        <v>1</v>
      </c>
      <c r="G603">
        <v>0</v>
      </c>
      <c r="H603">
        <v>108</v>
      </c>
      <c r="I603">
        <v>5</v>
      </c>
      <c r="J603">
        <v>67</v>
      </c>
      <c r="K603">
        <f t="shared" si="63"/>
        <v>5</v>
      </c>
      <c r="L603">
        <f t="shared" si="64"/>
        <v>50</v>
      </c>
      <c r="M603">
        <f t="shared" si="65"/>
        <v>40</v>
      </c>
      <c r="N603">
        <f t="shared" si="66"/>
        <v>50</v>
      </c>
      <c r="O603">
        <f t="shared" si="67"/>
        <v>47</v>
      </c>
      <c r="P603" t="str">
        <f t="shared" si="68"/>
        <v>Needs Improvement</v>
      </c>
      <c r="Q603" t="str">
        <f t="shared" si="69"/>
        <v>Medium</v>
      </c>
    </row>
    <row r="604" spans="1:17" x14ac:dyDescent="0.3">
      <c r="A604">
        <v>1603</v>
      </c>
      <c r="B604">
        <v>9</v>
      </c>
      <c r="C604">
        <v>8</v>
      </c>
      <c r="D604">
        <v>9</v>
      </c>
      <c r="E604">
        <v>2</v>
      </c>
      <c r="F604">
        <v>8</v>
      </c>
      <c r="G604">
        <v>8</v>
      </c>
      <c r="H604">
        <v>296</v>
      </c>
      <c r="I604">
        <v>5</v>
      </c>
      <c r="J604">
        <v>90</v>
      </c>
      <c r="K604">
        <f t="shared" si="63"/>
        <v>7.2</v>
      </c>
      <c r="L604">
        <f t="shared" si="64"/>
        <v>72</v>
      </c>
      <c r="M604">
        <f t="shared" si="65"/>
        <v>80</v>
      </c>
      <c r="N604">
        <f t="shared" si="66"/>
        <v>90</v>
      </c>
      <c r="O604">
        <f t="shared" si="67"/>
        <v>80</v>
      </c>
      <c r="P604" t="str">
        <f t="shared" si="68"/>
        <v>Placement Ready</v>
      </c>
      <c r="Q604" t="str">
        <f t="shared" si="69"/>
        <v>High</v>
      </c>
    </row>
    <row r="605" spans="1:17" x14ac:dyDescent="0.3">
      <c r="A605">
        <v>1604</v>
      </c>
      <c r="B605">
        <v>9</v>
      </c>
      <c r="C605">
        <v>5</v>
      </c>
      <c r="D605">
        <v>8</v>
      </c>
      <c r="E605">
        <v>9</v>
      </c>
      <c r="F605">
        <v>3</v>
      </c>
      <c r="G605">
        <v>3</v>
      </c>
      <c r="H605">
        <v>312</v>
      </c>
      <c r="I605">
        <v>4</v>
      </c>
      <c r="J605">
        <v>69</v>
      </c>
      <c r="K605">
        <f t="shared" si="63"/>
        <v>6.8</v>
      </c>
      <c r="L605">
        <f t="shared" si="64"/>
        <v>68</v>
      </c>
      <c r="M605">
        <f t="shared" si="65"/>
        <v>80</v>
      </c>
      <c r="N605">
        <f t="shared" si="66"/>
        <v>55</v>
      </c>
      <c r="O605">
        <f t="shared" si="67"/>
        <v>68</v>
      </c>
      <c r="P605" t="str">
        <f t="shared" si="68"/>
        <v>Needs Improvement</v>
      </c>
      <c r="Q605" t="str">
        <f t="shared" si="69"/>
        <v>Medium</v>
      </c>
    </row>
    <row r="606" spans="1:17" x14ac:dyDescent="0.3">
      <c r="A606">
        <v>1605</v>
      </c>
      <c r="B606">
        <v>10</v>
      </c>
      <c r="C606">
        <v>10</v>
      </c>
      <c r="D606">
        <v>1</v>
      </c>
      <c r="E606">
        <v>6</v>
      </c>
      <c r="F606">
        <v>1</v>
      </c>
      <c r="G606">
        <v>6</v>
      </c>
      <c r="H606">
        <v>160</v>
      </c>
      <c r="I606">
        <v>0</v>
      </c>
      <c r="J606">
        <v>50</v>
      </c>
      <c r="K606">
        <f t="shared" si="63"/>
        <v>5.6</v>
      </c>
      <c r="L606">
        <f t="shared" si="64"/>
        <v>56</v>
      </c>
      <c r="M606">
        <f t="shared" si="65"/>
        <v>60</v>
      </c>
      <c r="N606">
        <f t="shared" si="66"/>
        <v>30</v>
      </c>
      <c r="O606">
        <f t="shared" si="67"/>
        <v>49</v>
      </c>
      <c r="P606" t="str">
        <f t="shared" si="68"/>
        <v>Needs Improvement</v>
      </c>
      <c r="Q606" t="str">
        <f t="shared" si="69"/>
        <v>Medium</v>
      </c>
    </row>
    <row r="607" spans="1:17" x14ac:dyDescent="0.3">
      <c r="A607">
        <v>1606</v>
      </c>
      <c r="B607">
        <v>3</v>
      </c>
      <c r="C607">
        <v>10</v>
      </c>
      <c r="D607">
        <v>8</v>
      </c>
      <c r="E607">
        <v>6</v>
      </c>
      <c r="F607">
        <v>8</v>
      </c>
      <c r="G607">
        <v>0</v>
      </c>
      <c r="H607">
        <v>200</v>
      </c>
      <c r="I607">
        <v>1</v>
      </c>
      <c r="J607">
        <v>57</v>
      </c>
      <c r="K607">
        <f t="shared" si="63"/>
        <v>7</v>
      </c>
      <c r="L607">
        <f t="shared" si="64"/>
        <v>70</v>
      </c>
      <c r="M607">
        <f t="shared" si="65"/>
        <v>60</v>
      </c>
      <c r="N607">
        <f t="shared" si="66"/>
        <v>10</v>
      </c>
      <c r="O607">
        <f t="shared" si="67"/>
        <v>49</v>
      </c>
      <c r="P607" t="str">
        <f t="shared" si="68"/>
        <v>Needs Improvement</v>
      </c>
      <c r="Q607" t="str">
        <f t="shared" si="69"/>
        <v>Medium</v>
      </c>
    </row>
    <row r="608" spans="1:17" x14ac:dyDescent="0.3">
      <c r="A608">
        <v>1607</v>
      </c>
      <c r="B608">
        <v>6</v>
      </c>
      <c r="C608">
        <v>8</v>
      </c>
      <c r="D608">
        <v>3</v>
      </c>
      <c r="E608">
        <v>9</v>
      </c>
      <c r="F608">
        <v>5</v>
      </c>
      <c r="G608">
        <v>0</v>
      </c>
      <c r="H608">
        <v>373</v>
      </c>
      <c r="I608">
        <v>4</v>
      </c>
      <c r="J608">
        <v>85</v>
      </c>
      <c r="K608">
        <f t="shared" si="63"/>
        <v>6.2</v>
      </c>
      <c r="L608">
        <f t="shared" si="64"/>
        <v>62</v>
      </c>
      <c r="M608">
        <f t="shared" si="65"/>
        <v>80</v>
      </c>
      <c r="N608">
        <f t="shared" si="66"/>
        <v>40</v>
      </c>
      <c r="O608">
        <f t="shared" si="67"/>
        <v>61</v>
      </c>
      <c r="P608" t="str">
        <f t="shared" si="68"/>
        <v>Placement Ready</v>
      </c>
      <c r="Q608" t="str">
        <f t="shared" si="69"/>
        <v>Medium</v>
      </c>
    </row>
    <row r="609" spans="1:17" x14ac:dyDescent="0.3">
      <c r="A609">
        <v>1608</v>
      </c>
      <c r="B609">
        <v>6</v>
      </c>
      <c r="C609">
        <v>6</v>
      </c>
      <c r="D609">
        <v>3</v>
      </c>
      <c r="E609">
        <v>4</v>
      </c>
      <c r="F609">
        <v>3</v>
      </c>
      <c r="G609">
        <v>0</v>
      </c>
      <c r="H609">
        <v>456</v>
      </c>
      <c r="I609">
        <v>3</v>
      </c>
      <c r="J609">
        <v>70</v>
      </c>
      <c r="K609">
        <f t="shared" si="63"/>
        <v>4.4000000000000004</v>
      </c>
      <c r="L609">
        <f t="shared" si="64"/>
        <v>44</v>
      </c>
      <c r="M609">
        <f t="shared" si="65"/>
        <v>100</v>
      </c>
      <c r="N609">
        <f t="shared" si="66"/>
        <v>30</v>
      </c>
      <c r="O609">
        <f t="shared" si="67"/>
        <v>57</v>
      </c>
      <c r="P609" t="str">
        <f t="shared" si="68"/>
        <v>Needs Improvement</v>
      </c>
      <c r="Q609" t="str">
        <f t="shared" si="69"/>
        <v>Medium</v>
      </c>
    </row>
    <row r="610" spans="1:17" x14ac:dyDescent="0.3">
      <c r="A610">
        <v>1609</v>
      </c>
      <c r="B610">
        <v>6</v>
      </c>
      <c r="C610">
        <v>3</v>
      </c>
      <c r="D610">
        <v>4</v>
      </c>
      <c r="E610">
        <v>10</v>
      </c>
      <c r="F610">
        <v>4</v>
      </c>
      <c r="G610">
        <v>2</v>
      </c>
      <c r="H610">
        <v>70</v>
      </c>
      <c r="I610">
        <v>0</v>
      </c>
      <c r="J610">
        <v>67</v>
      </c>
      <c r="K610">
        <f t="shared" si="63"/>
        <v>5.4</v>
      </c>
      <c r="L610">
        <f t="shared" si="64"/>
        <v>54</v>
      </c>
      <c r="M610">
        <f t="shared" si="65"/>
        <v>40</v>
      </c>
      <c r="N610">
        <f t="shared" si="66"/>
        <v>10</v>
      </c>
      <c r="O610">
        <f t="shared" si="67"/>
        <v>37</v>
      </c>
      <c r="P610" t="str">
        <f t="shared" si="68"/>
        <v>Needs Improvement</v>
      </c>
      <c r="Q610" t="str">
        <f t="shared" si="69"/>
        <v>Low</v>
      </c>
    </row>
    <row r="611" spans="1:17" x14ac:dyDescent="0.3">
      <c r="A611">
        <v>1610</v>
      </c>
      <c r="B611">
        <v>4</v>
      </c>
      <c r="C611">
        <v>6</v>
      </c>
      <c r="D611">
        <v>7</v>
      </c>
      <c r="E611">
        <v>10</v>
      </c>
      <c r="F611">
        <v>10</v>
      </c>
      <c r="G611">
        <v>2</v>
      </c>
      <c r="H611">
        <v>202</v>
      </c>
      <c r="I611">
        <v>3</v>
      </c>
      <c r="J611">
        <v>68</v>
      </c>
      <c r="K611">
        <f t="shared" si="63"/>
        <v>7.4</v>
      </c>
      <c r="L611">
        <f t="shared" si="64"/>
        <v>74</v>
      </c>
      <c r="M611">
        <f t="shared" si="65"/>
        <v>60</v>
      </c>
      <c r="N611">
        <f t="shared" si="66"/>
        <v>40</v>
      </c>
      <c r="O611">
        <f t="shared" si="67"/>
        <v>60</v>
      </c>
      <c r="P611" t="str">
        <f t="shared" si="68"/>
        <v>Needs Improvement</v>
      </c>
      <c r="Q611" t="str">
        <f t="shared" si="69"/>
        <v>Medium</v>
      </c>
    </row>
    <row r="612" spans="1:17" x14ac:dyDescent="0.3">
      <c r="A612">
        <v>1611</v>
      </c>
      <c r="B612">
        <v>3</v>
      </c>
      <c r="C612">
        <v>1</v>
      </c>
      <c r="D612">
        <v>6</v>
      </c>
      <c r="E612">
        <v>4</v>
      </c>
      <c r="F612">
        <v>1</v>
      </c>
      <c r="G612">
        <v>3</v>
      </c>
      <c r="H612">
        <v>185</v>
      </c>
      <c r="I612">
        <v>1</v>
      </c>
      <c r="J612">
        <v>66</v>
      </c>
      <c r="K612">
        <f t="shared" si="63"/>
        <v>3</v>
      </c>
      <c r="L612">
        <f t="shared" si="64"/>
        <v>30</v>
      </c>
      <c r="M612">
        <f t="shared" si="65"/>
        <v>60</v>
      </c>
      <c r="N612">
        <f t="shared" si="66"/>
        <v>25</v>
      </c>
      <c r="O612">
        <f t="shared" si="67"/>
        <v>38</v>
      </c>
      <c r="P612" t="str">
        <f t="shared" si="68"/>
        <v>Needs Improvement</v>
      </c>
      <c r="Q612" t="str">
        <f t="shared" si="69"/>
        <v>Low</v>
      </c>
    </row>
    <row r="613" spans="1:17" x14ac:dyDescent="0.3">
      <c r="A613">
        <v>1612</v>
      </c>
      <c r="B613">
        <v>2</v>
      </c>
      <c r="C613">
        <v>3</v>
      </c>
      <c r="D613">
        <v>9</v>
      </c>
      <c r="E613">
        <v>5</v>
      </c>
      <c r="F613">
        <v>10</v>
      </c>
      <c r="G613">
        <v>6</v>
      </c>
      <c r="H613">
        <v>422</v>
      </c>
      <c r="I613">
        <v>3</v>
      </c>
      <c r="J613">
        <v>86</v>
      </c>
      <c r="K613">
        <f t="shared" si="63"/>
        <v>5.8</v>
      </c>
      <c r="L613">
        <f t="shared" si="64"/>
        <v>58</v>
      </c>
      <c r="M613">
        <f t="shared" si="65"/>
        <v>100</v>
      </c>
      <c r="N613">
        <f t="shared" si="66"/>
        <v>60</v>
      </c>
      <c r="O613">
        <f t="shared" si="67"/>
        <v>71</v>
      </c>
      <c r="P613" t="str">
        <f t="shared" si="68"/>
        <v>Placement Ready</v>
      </c>
      <c r="Q613" t="str">
        <f t="shared" si="69"/>
        <v>High</v>
      </c>
    </row>
    <row r="614" spans="1:17" x14ac:dyDescent="0.3">
      <c r="A614">
        <v>1613</v>
      </c>
      <c r="B614">
        <v>3</v>
      </c>
      <c r="C614">
        <v>3</v>
      </c>
      <c r="D614">
        <v>8</v>
      </c>
      <c r="E614">
        <v>2</v>
      </c>
      <c r="F614">
        <v>8</v>
      </c>
      <c r="G614">
        <v>4</v>
      </c>
      <c r="H614">
        <v>168</v>
      </c>
      <c r="I614">
        <v>4</v>
      </c>
      <c r="J614">
        <v>79</v>
      </c>
      <c r="K614">
        <f t="shared" si="63"/>
        <v>4.8</v>
      </c>
      <c r="L614">
        <f t="shared" si="64"/>
        <v>48</v>
      </c>
      <c r="M614">
        <f t="shared" si="65"/>
        <v>60</v>
      </c>
      <c r="N614">
        <f t="shared" si="66"/>
        <v>60</v>
      </c>
      <c r="O614">
        <f t="shared" si="67"/>
        <v>55</v>
      </c>
      <c r="P614" t="str">
        <f t="shared" si="68"/>
        <v>Placement Ready</v>
      </c>
      <c r="Q614" t="str">
        <f t="shared" si="69"/>
        <v>Medium</v>
      </c>
    </row>
    <row r="615" spans="1:17" x14ac:dyDescent="0.3">
      <c r="A615">
        <v>1614</v>
      </c>
      <c r="B615">
        <v>2</v>
      </c>
      <c r="C615">
        <v>8</v>
      </c>
      <c r="D615">
        <v>10</v>
      </c>
      <c r="E615">
        <v>3</v>
      </c>
      <c r="F615">
        <v>9</v>
      </c>
      <c r="G615">
        <v>6</v>
      </c>
      <c r="H615">
        <v>240</v>
      </c>
      <c r="I615">
        <v>3</v>
      </c>
      <c r="J615">
        <v>77</v>
      </c>
      <c r="K615">
        <f t="shared" si="63"/>
        <v>6.4</v>
      </c>
      <c r="L615">
        <f t="shared" si="64"/>
        <v>64</v>
      </c>
      <c r="M615">
        <f t="shared" si="65"/>
        <v>60</v>
      </c>
      <c r="N615">
        <f t="shared" si="66"/>
        <v>60</v>
      </c>
      <c r="O615">
        <f t="shared" si="67"/>
        <v>62</v>
      </c>
      <c r="P615" t="str">
        <f t="shared" si="68"/>
        <v>Placement Ready</v>
      </c>
      <c r="Q615" t="str">
        <f t="shared" si="69"/>
        <v>Medium</v>
      </c>
    </row>
    <row r="616" spans="1:17" x14ac:dyDescent="0.3">
      <c r="A616">
        <v>1615</v>
      </c>
      <c r="B616">
        <v>7</v>
      </c>
      <c r="C616">
        <v>1</v>
      </c>
      <c r="D616">
        <v>6</v>
      </c>
      <c r="E616">
        <v>6</v>
      </c>
      <c r="F616">
        <v>1</v>
      </c>
      <c r="G616">
        <v>8</v>
      </c>
      <c r="H616">
        <v>345</v>
      </c>
      <c r="I616">
        <v>1</v>
      </c>
      <c r="J616">
        <v>65</v>
      </c>
      <c r="K616">
        <f t="shared" si="63"/>
        <v>4.2</v>
      </c>
      <c r="L616">
        <f t="shared" si="64"/>
        <v>42</v>
      </c>
      <c r="M616">
        <f t="shared" si="65"/>
        <v>80</v>
      </c>
      <c r="N616">
        <f t="shared" si="66"/>
        <v>50</v>
      </c>
      <c r="O616">
        <f t="shared" si="67"/>
        <v>56</v>
      </c>
      <c r="P616" t="str">
        <f t="shared" si="68"/>
        <v>Needs Improvement</v>
      </c>
      <c r="Q616" t="str">
        <f t="shared" si="69"/>
        <v>Medium</v>
      </c>
    </row>
    <row r="617" spans="1:17" x14ac:dyDescent="0.3">
      <c r="A617">
        <v>1616</v>
      </c>
      <c r="B617">
        <v>8</v>
      </c>
      <c r="C617">
        <v>10</v>
      </c>
      <c r="D617">
        <v>4</v>
      </c>
      <c r="E617">
        <v>2</v>
      </c>
      <c r="F617">
        <v>4</v>
      </c>
      <c r="G617">
        <v>7</v>
      </c>
      <c r="H617">
        <v>165</v>
      </c>
      <c r="I617">
        <v>1</v>
      </c>
      <c r="J617">
        <v>46</v>
      </c>
      <c r="K617">
        <f t="shared" si="63"/>
        <v>5.6</v>
      </c>
      <c r="L617">
        <f t="shared" si="64"/>
        <v>56</v>
      </c>
      <c r="M617">
        <f t="shared" si="65"/>
        <v>60</v>
      </c>
      <c r="N617">
        <f t="shared" si="66"/>
        <v>45</v>
      </c>
      <c r="O617">
        <f t="shared" si="67"/>
        <v>54</v>
      </c>
      <c r="P617" t="str">
        <f t="shared" si="68"/>
        <v>Not Ready</v>
      </c>
      <c r="Q617" t="str">
        <f t="shared" si="69"/>
        <v>Medium</v>
      </c>
    </row>
    <row r="618" spans="1:17" x14ac:dyDescent="0.3">
      <c r="A618">
        <v>1617</v>
      </c>
      <c r="B618">
        <v>3</v>
      </c>
      <c r="C618">
        <v>2</v>
      </c>
      <c r="D618">
        <v>10</v>
      </c>
      <c r="E618">
        <v>10</v>
      </c>
      <c r="F618">
        <v>3</v>
      </c>
      <c r="G618">
        <v>6</v>
      </c>
      <c r="H618">
        <v>385</v>
      </c>
      <c r="I618">
        <v>2</v>
      </c>
      <c r="J618">
        <v>89</v>
      </c>
      <c r="K618">
        <f t="shared" si="63"/>
        <v>5.6</v>
      </c>
      <c r="L618">
        <f t="shared" si="64"/>
        <v>56</v>
      </c>
      <c r="M618">
        <f t="shared" si="65"/>
        <v>80</v>
      </c>
      <c r="N618">
        <f t="shared" si="66"/>
        <v>50</v>
      </c>
      <c r="O618">
        <f t="shared" si="67"/>
        <v>61</v>
      </c>
      <c r="P618" t="str">
        <f t="shared" si="68"/>
        <v>Placement Ready</v>
      </c>
      <c r="Q618" t="str">
        <f t="shared" si="69"/>
        <v>Medium</v>
      </c>
    </row>
    <row r="619" spans="1:17" x14ac:dyDescent="0.3">
      <c r="A619">
        <v>1618</v>
      </c>
      <c r="B619">
        <v>1</v>
      </c>
      <c r="C619">
        <v>10</v>
      </c>
      <c r="D619">
        <v>6</v>
      </c>
      <c r="E619">
        <v>5</v>
      </c>
      <c r="F619">
        <v>9</v>
      </c>
      <c r="G619">
        <v>6</v>
      </c>
      <c r="H619">
        <v>299</v>
      </c>
      <c r="I619">
        <v>3</v>
      </c>
      <c r="J619">
        <v>43</v>
      </c>
      <c r="K619">
        <f t="shared" si="63"/>
        <v>6.2</v>
      </c>
      <c r="L619">
        <f t="shared" si="64"/>
        <v>62</v>
      </c>
      <c r="M619">
        <f t="shared" si="65"/>
        <v>80</v>
      </c>
      <c r="N619">
        <f t="shared" si="66"/>
        <v>60</v>
      </c>
      <c r="O619">
        <f t="shared" si="67"/>
        <v>67</v>
      </c>
      <c r="P619" t="str">
        <f t="shared" si="68"/>
        <v>Not Ready</v>
      </c>
      <c r="Q619" t="str">
        <f t="shared" si="69"/>
        <v>Medium</v>
      </c>
    </row>
    <row r="620" spans="1:17" x14ac:dyDescent="0.3">
      <c r="A620">
        <v>1619</v>
      </c>
      <c r="B620">
        <v>4</v>
      </c>
      <c r="C620">
        <v>1</v>
      </c>
      <c r="D620">
        <v>7</v>
      </c>
      <c r="E620">
        <v>6</v>
      </c>
      <c r="F620">
        <v>8</v>
      </c>
      <c r="G620">
        <v>8</v>
      </c>
      <c r="H620">
        <v>409</v>
      </c>
      <c r="I620">
        <v>5</v>
      </c>
      <c r="J620">
        <v>80</v>
      </c>
      <c r="K620">
        <f t="shared" si="63"/>
        <v>5.2</v>
      </c>
      <c r="L620">
        <f t="shared" si="64"/>
        <v>52</v>
      </c>
      <c r="M620">
        <f t="shared" si="65"/>
        <v>100</v>
      </c>
      <c r="N620">
        <f t="shared" si="66"/>
        <v>90</v>
      </c>
      <c r="O620">
        <f t="shared" si="67"/>
        <v>78</v>
      </c>
      <c r="P620" t="str">
        <f t="shared" si="68"/>
        <v>Placement Ready</v>
      </c>
      <c r="Q620" t="str">
        <f t="shared" si="69"/>
        <v>High</v>
      </c>
    </row>
    <row r="621" spans="1:17" x14ac:dyDescent="0.3">
      <c r="A621">
        <v>1620</v>
      </c>
      <c r="B621">
        <v>7</v>
      </c>
      <c r="C621">
        <v>2</v>
      </c>
      <c r="D621">
        <v>2</v>
      </c>
      <c r="E621">
        <v>10</v>
      </c>
      <c r="F621">
        <v>7</v>
      </c>
      <c r="G621">
        <v>7</v>
      </c>
      <c r="H621">
        <v>388</v>
      </c>
      <c r="I621">
        <v>4</v>
      </c>
      <c r="J621">
        <v>55</v>
      </c>
      <c r="K621">
        <f t="shared" si="63"/>
        <v>5.6</v>
      </c>
      <c r="L621">
        <f t="shared" si="64"/>
        <v>56</v>
      </c>
      <c r="M621">
        <f t="shared" si="65"/>
        <v>80</v>
      </c>
      <c r="N621">
        <f t="shared" si="66"/>
        <v>75</v>
      </c>
      <c r="O621">
        <f t="shared" si="67"/>
        <v>69</v>
      </c>
      <c r="P621" t="str">
        <f t="shared" si="68"/>
        <v>Needs Improvement</v>
      </c>
      <c r="Q621" t="str">
        <f t="shared" si="69"/>
        <v>Medium</v>
      </c>
    </row>
    <row r="622" spans="1:17" x14ac:dyDescent="0.3">
      <c r="A622">
        <v>1621</v>
      </c>
      <c r="B622">
        <v>1</v>
      </c>
      <c r="C622">
        <v>5</v>
      </c>
      <c r="D622">
        <v>7</v>
      </c>
      <c r="E622">
        <v>4</v>
      </c>
      <c r="F622">
        <v>5</v>
      </c>
      <c r="G622">
        <v>4</v>
      </c>
      <c r="H622">
        <v>466</v>
      </c>
      <c r="I622">
        <v>2</v>
      </c>
      <c r="J622">
        <v>84</v>
      </c>
      <c r="K622">
        <f t="shared" si="63"/>
        <v>4.4000000000000004</v>
      </c>
      <c r="L622">
        <f t="shared" si="64"/>
        <v>44</v>
      </c>
      <c r="M622">
        <f t="shared" si="65"/>
        <v>100</v>
      </c>
      <c r="N622">
        <f t="shared" si="66"/>
        <v>40</v>
      </c>
      <c r="O622">
        <f t="shared" si="67"/>
        <v>60</v>
      </c>
      <c r="P622" t="str">
        <f t="shared" si="68"/>
        <v>Placement Ready</v>
      </c>
      <c r="Q622" t="str">
        <f t="shared" si="69"/>
        <v>Medium</v>
      </c>
    </row>
    <row r="623" spans="1:17" x14ac:dyDescent="0.3">
      <c r="A623">
        <v>1622</v>
      </c>
      <c r="B623">
        <v>3</v>
      </c>
      <c r="C623">
        <v>4</v>
      </c>
      <c r="D623">
        <v>4</v>
      </c>
      <c r="E623">
        <v>8</v>
      </c>
      <c r="F623">
        <v>8</v>
      </c>
      <c r="G623">
        <v>4</v>
      </c>
      <c r="H623">
        <v>322</v>
      </c>
      <c r="I623">
        <v>2</v>
      </c>
      <c r="J623">
        <v>73</v>
      </c>
      <c r="K623">
        <f t="shared" si="63"/>
        <v>5.4</v>
      </c>
      <c r="L623">
        <f t="shared" si="64"/>
        <v>54</v>
      </c>
      <c r="M623">
        <f t="shared" si="65"/>
        <v>80</v>
      </c>
      <c r="N623">
        <f t="shared" si="66"/>
        <v>40</v>
      </c>
      <c r="O623">
        <f t="shared" si="67"/>
        <v>58</v>
      </c>
      <c r="P623" t="str">
        <f t="shared" si="68"/>
        <v>Needs Improvement</v>
      </c>
      <c r="Q623" t="str">
        <f t="shared" si="69"/>
        <v>Medium</v>
      </c>
    </row>
    <row r="624" spans="1:17" x14ac:dyDescent="0.3">
      <c r="A624">
        <v>1623</v>
      </c>
      <c r="B624">
        <v>1</v>
      </c>
      <c r="C624">
        <v>7</v>
      </c>
      <c r="D624">
        <v>7</v>
      </c>
      <c r="E624">
        <v>10</v>
      </c>
      <c r="F624">
        <v>8</v>
      </c>
      <c r="G624">
        <v>3</v>
      </c>
      <c r="H624">
        <v>462</v>
      </c>
      <c r="I624">
        <v>2</v>
      </c>
      <c r="J624">
        <v>82</v>
      </c>
      <c r="K624">
        <f t="shared" si="63"/>
        <v>6.6</v>
      </c>
      <c r="L624">
        <f t="shared" si="64"/>
        <v>66</v>
      </c>
      <c r="M624">
        <f t="shared" si="65"/>
        <v>100</v>
      </c>
      <c r="N624">
        <f t="shared" si="66"/>
        <v>35</v>
      </c>
      <c r="O624">
        <f t="shared" si="67"/>
        <v>67</v>
      </c>
      <c r="P624" t="str">
        <f t="shared" si="68"/>
        <v>Placement Ready</v>
      </c>
      <c r="Q624" t="str">
        <f t="shared" si="69"/>
        <v>Medium</v>
      </c>
    </row>
    <row r="625" spans="1:17" x14ac:dyDescent="0.3">
      <c r="A625">
        <v>1624</v>
      </c>
      <c r="B625">
        <v>5</v>
      </c>
      <c r="C625">
        <v>2</v>
      </c>
      <c r="D625">
        <v>6</v>
      </c>
      <c r="E625">
        <v>8</v>
      </c>
      <c r="F625">
        <v>9</v>
      </c>
      <c r="G625">
        <v>5</v>
      </c>
      <c r="H625">
        <v>375</v>
      </c>
      <c r="I625">
        <v>0</v>
      </c>
      <c r="J625">
        <v>77</v>
      </c>
      <c r="K625">
        <f t="shared" si="63"/>
        <v>6</v>
      </c>
      <c r="L625">
        <f t="shared" si="64"/>
        <v>60</v>
      </c>
      <c r="M625">
        <f t="shared" si="65"/>
        <v>80</v>
      </c>
      <c r="N625">
        <f t="shared" si="66"/>
        <v>25</v>
      </c>
      <c r="O625">
        <f t="shared" si="67"/>
        <v>56</v>
      </c>
      <c r="P625" t="str">
        <f t="shared" si="68"/>
        <v>Placement Ready</v>
      </c>
      <c r="Q625" t="str">
        <f t="shared" si="69"/>
        <v>Medium</v>
      </c>
    </row>
    <row r="626" spans="1:17" x14ac:dyDescent="0.3">
      <c r="A626">
        <v>1625</v>
      </c>
      <c r="B626">
        <v>8</v>
      </c>
      <c r="C626">
        <v>3</v>
      </c>
      <c r="D626">
        <v>6</v>
      </c>
      <c r="E626">
        <v>9</v>
      </c>
      <c r="F626">
        <v>10</v>
      </c>
      <c r="G626">
        <v>7</v>
      </c>
      <c r="H626">
        <v>172</v>
      </c>
      <c r="I626">
        <v>0</v>
      </c>
      <c r="J626">
        <v>50</v>
      </c>
      <c r="K626">
        <f t="shared" si="63"/>
        <v>7.2</v>
      </c>
      <c r="L626">
        <f t="shared" si="64"/>
        <v>72</v>
      </c>
      <c r="M626">
        <f t="shared" si="65"/>
        <v>60</v>
      </c>
      <c r="N626">
        <f t="shared" si="66"/>
        <v>35</v>
      </c>
      <c r="O626">
        <f t="shared" si="67"/>
        <v>57</v>
      </c>
      <c r="P626" t="str">
        <f t="shared" si="68"/>
        <v>Needs Improvement</v>
      </c>
      <c r="Q626" t="str">
        <f t="shared" si="69"/>
        <v>Medium</v>
      </c>
    </row>
    <row r="627" spans="1:17" x14ac:dyDescent="0.3">
      <c r="A627">
        <v>1626</v>
      </c>
      <c r="B627">
        <v>5</v>
      </c>
      <c r="C627">
        <v>2</v>
      </c>
      <c r="D627">
        <v>6</v>
      </c>
      <c r="E627">
        <v>5</v>
      </c>
      <c r="F627">
        <v>9</v>
      </c>
      <c r="G627">
        <v>0</v>
      </c>
      <c r="H627">
        <v>312</v>
      </c>
      <c r="I627">
        <v>4</v>
      </c>
      <c r="J627">
        <v>72</v>
      </c>
      <c r="K627">
        <f t="shared" si="63"/>
        <v>5.4</v>
      </c>
      <c r="L627">
        <f t="shared" si="64"/>
        <v>54</v>
      </c>
      <c r="M627">
        <f t="shared" si="65"/>
        <v>80</v>
      </c>
      <c r="N627">
        <f t="shared" si="66"/>
        <v>40</v>
      </c>
      <c r="O627">
        <f t="shared" si="67"/>
        <v>58</v>
      </c>
      <c r="P627" t="str">
        <f t="shared" si="68"/>
        <v>Needs Improvement</v>
      </c>
      <c r="Q627" t="str">
        <f t="shared" si="69"/>
        <v>Medium</v>
      </c>
    </row>
    <row r="628" spans="1:17" x14ac:dyDescent="0.3">
      <c r="A628">
        <v>1627</v>
      </c>
      <c r="B628">
        <v>5</v>
      </c>
      <c r="C628">
        <v>8</v>
      </c>
      <c r="D628">
        <v>1</v>
      </c>
      <c r="E628">
        <v>7</v>
      </c>
      <c r="F628">
        <v>4</v>
      </c>
      <c r="G628">
        <v>1</v>
      </c>
      <c r="H628">
        <v>139</v>
      </c>
      <c r="I628">
        <v>4</v>
      </c>
      <c r="J628">
        <v>56</v>
      </c>
      <c r="K628">
        <f t="shared" si="63"/>
        <v>5</v>
      </c>
      <c r="L628">
        <f t="shared" si="64"/>
        <v>50</v>
      </c>
      <c r="M628">
        <f t="shared" si="65"/>
        <v>40</v>
      </c>
      <c r="N628">
        <f t="shared" si="66"/>
        <v>45</v>
      </c>
      <c r="O628">
        <f t="shared" si="67"/>
        <v>46</v>
      </c>
      <c r="P628" t="str">
        <f t="shared" si="68"/>
        <v>Needs Improvement</v>
      </c>
      <c r="Q628" t="str">
        <f t="shared" si="69"/>
        <v>Medium</v>
      </c>
    </row>
    <row r="629" spans="1:17" x14ac:dyDescent="0.3">
      <c r="A629">
        <v>1628</v>
      </c>
      <c r="B629">
        <v>8</v>
      </c>
      <c r="C629">
        <v>5</v>
      </c>
      <c r="D629">
        <v>5</v>
      </c>
      <c r="E629">
        <v>8</v>
      </c>
      <c r="F629">
        <v>2</v>
      </c>
      <c r="G629">
        <v>1</v>
      </c>
      <c r="H629">
        <v>91</v>
      </c>
      <c r="I629">
        <v>1</v>
      </c>
      <c r="J629">
        <v>68</v>
      </c>
      <c r="K629">
        <f t="shared" si="63"/>
        <v>5.6</v>
      </c>
      <c r="L629">
        <f t="shared" si="64"/>
        <v>56</v>
      </c>
      <c r="M629">
        <f t="shared" si="65"/>
        <v>40</v>
      </c>
      <c r="N629">
        <f t="shared" si="66"/>
        <v>15</v>
      </c>
      <c r="O629">
        <f t="shared" si="67"/>
        <v>39</v>
      </c>
      <c r="P629" t="str">
        <f t="shared" si="68"/>
        <v>Needs Improvement</v>
      </c>
      <c r="Q629" t="str">
        <f t="shared" si="69"/>
        <v>Low</v>
      </c>
    </row>
    <row r="630" spans="1:17" x14ac:dyDescent="0.3">
      <c r="A630">
        <v>1629</v>
      </c>
      <c r="B630">
        <v>7</v>
      </c>
      <c r="C630">
        <v>6</v>
      </c>
      <c r="D630">
        <v>5</v>
      </c>
      <c r="E630">
        <v>6</v>
      </c>
      <c r="F630">
        <v>10</v>
      </c>
      <c r="G630">
        <v>7</v>
      </c>
      <c r="H630">
        <v>263</v>
      </c>
      <c r="I630">
        <v>5</v>
      </c>
      <c r="J630">
        <v>41</v>
      </c>
      <c r="K630">
        <f t="shared" si="63"/>
        <v>6.8</v>
      </c>
      <c r="L630">
        <f t="shared" si="64"/>
        <v>68</v>
      </c>
      <c r="M630">
        <f t="shared" si="65"/>
        <v>80</v>
      </c>
      <c r="N630">
        <f t="shared" si="66"/>
        <v>85</v>
      </c>
      <c r="O630">
        <f t="shared" si="67"/>
        <v>77</v>
      </c>
      <c r="P630" t="str">
        <f t="shared" si="68"/>
        <v>Not Ready</v>
      </c>
      <c r="Q630" t="str">
        <f t="shared" si="69"/>
        <v>High</v>
      </c>
    </row>
    <row r="631" spans="1:17" x14ac:dyDescent="0.3">
      <c r="A631">
        <v>1630</v>
      </c>
      <c r="B631">
        <v>4</v>
      </c>
      <c r="C631">
        <v>5</v>
      </c>
      <c r="D631">
        <v>2</v>
      </c>
      <c r="E631">
        <v>3</v>
      </c>
      <c r="F631">
        <v>7</v>
      </c>
      <c r="G631">
        <v>1</v>
      </c>
      <c r="H631">
        <v>340</v>
      </c>
      <c r="I631">
        <v>3</v>
      </c>
      <c r="J631">
        <v>49</v>
      </c>
      <c r="K631">
        <f t="shared" si="63"/>
        <v>4.2</v>
      </c>
      <c r="L631">
        <f t="shared" si="64"/>
        <v>42</v>
      </c>
      <c r="M631">
        <f t="shared" si="65"/>
        <v>80</v>
      </c>
      <c r="N631">
        <f t="shared" si="66"/>
        <v>35</v>
      </c>
      <c r="O631">
        <f t="shared" si="67"/>
        <v>51</v>
      </c>
      <c r="P631" t="str">
        <f t="shared" si="68"/>
        <v>Not Ready</v>
      </c>
      <c r="Q631" t="str">
        <f t="shared" si="69"/>
        <v>Medium</v>
      </c>
    </row>
    <row r="632" spans="1:17" x14ac:dyDescent="0.3">
      <c r="A632">
        <v>1631</v>
      </c>
      <c r="B632">
        <v>7</v>
      </c>
      <c r="C632">
        <v>5</v>
      </c>
      <c r="D632">
        <v>7</v>
      </c>
      <c r="E632">
        <v>3</v>
      </c>
      <c r="F632">
        <v>5</v>
      </c>
      <c r="G632">
        <v>1</v>
      </c>
      <c r="H632">
        <v>211</v>
      </c>
      <c r="I632">
        <v>3</v>
      </c>
      <c r="J632">
        <v>70</v>
      </c>
      <c r="K632">
        <f t="shared" si="63"/>
        <v>5.4</v>
      </c>
      <c r="L632">
        <f t="shared" si="64"/>
        <v>54</v>
      </c>
      <c r="M632">
        <f t="shared" si="65"/>
        <v>60</v>
      </c>
      <c r="N632">
        <f t="shared" si="66"/>
        <v>35</v>
      </c>
      <c r="O632">
        <f t="shared" si="67"/>
        <v>50</v>
      </c>
      <c r="P632" t="str">
        <f t="shared" si="68"/>
        <v>Needs Improvement</v>
      </c>
      <c r="Q632" t="str">
        <f t="shared" si="69"/>
        <v>Medium</v>
      </c>
    </row>
    <row r="633" spans="1:17" x14ac:dyDescent="0.3">
      <c r="A633">
        <v>1632</v>
      </c>
      <c r="B633">
        <v>8</v>
      </c>
      <c r="C633">
        <v>2</v>
      </c>
      <c r="D633">
        <v>8</v>
      </c>
      <c r="E633">
        <v>5</v>
      </c>
      <c r="F633">
        <v>2</v>
      </c>
      <c r="G633">
        <v>6</v>
      </c>
      <c r="H633">
        <v>371</v>
      </c>
      <c r="I633">
        <v>2</v>
      </c>
      <c r="J633">
        <v>63</v>
      </c>
      <c r="K633">
        <f t="shared" si="63"/>
        <v>5</v>
      </c>
      <c r="L633">
        <f t="shared" si="64"/>
        <v>50</v>
      </c>
      <c r="M633">
        <f t="shared" si="65"/>
        <v>80</v>
      </c>
      <c r="N633">
        <f t="shared" si="66"/>
        <v>50</v>
      </c>
      <c r="O633">
        <f t="shared" si="67"/>
        <v>59</v>
      </c>
      <c r="P633" t="str">
        <f t="shared" si="68"/>
        <v>Needs Improvement</v>
      </c>
      <c r="Q633" t="str">
        <f t="shared" si="69"/>
        <v>Medium</v>
      </c>
    </row>
    <row r="634" spans="1:17" x14ac:dyDescent="0.3">
      <c r="A634">
        <v>1633</v>
      </c>
      <c r="B634">
        <v>3</v>
      </c>
      <c r="C634">
        <v>10</v>
      </c>
      <c r="D634">
        <v>7</v>
      </c>
      <c r="E634">
        <v>8</v>
      </c>
      <c r="F634">
        <v>7</v>
      </c>
      <c r="G634">
        <v>7</v>
      </c>
      <c r="H634">
        <v>286</v>
      </c>
      <c r="I634">
        <v>5</v>
      </c>
      <c r="J634">
        <v>68</v>
      </c>
      <c r="K634">
        <f t="shared" si="63"/>
        <v>7</v>
      </c>
      <c r="L634">
        <f t="shared" si="64"/>
        <v>70</v>
      </c>
      <c r="M634">
        <f t="shared" si="65"/>
        <v>80</v>
      </c>
      <c r="N634">
        <f t="shared" si="66"/>
        <v>85</v>
      </c>
      <c r="O634">
        <f t="shared" si="67"/>
        <v>78</v>
      </c>
      <c r="P634" t="str">
        <f t="shared" si="68"/>
        <v>Needs Improvement</v>
      </c>
      <c r="Q634" t="str">
        <f t="shared" si="69"/>
        <v>High</v>
      </c>
    </row>
    <row r="635" spans="1:17" x14ac:dyDescent="0.3">
      <c r="A635">
        <v>1634</v>
      </c>
      <c r="B635">
        <v>2</v>
      </c>
      <c r="C635">
        <v>3</v>
      </c>
      <c r="D635">
        <v>10</v>
      </c>
      <c r="E635">
        <v>10</v>
      </c>
      <c r="F635">
        <v>2</v>
      </c>
      <c r="G635">
        <v>1</v>
      </c>
      <c r="H635">
        <v>177</v>
      </c>
      <c r="I635">
        <v>4</v>
      </c>
      <c r="J635">
        <v>75</v>
      </c>
      <c r="K635">
        <f t="shared" si="63"/>
        <v>5.4</v>
      </c>
      <c r="L635">
        <f t="shared" si="64"/>
        <v>54</v>
      </c>
      <c r="M635">
        <f t="shared" si="65"/>
        <v>60</v>
      </c>
      <c r="N635">
        <f t="shared" si="66"/>
        <v>45</v>
      </c>
      <c r="O635">
        <f t="shared" si="67"/>
        <v>53</v>
      </c>
      <c r="P635" t="str">
        <f t="shared" si="68"/>
        <v>Placement Ready</v>
      </c>
      <c r="Q635" t="str">
        <f t="shared" si="69"/>
        <v>Medium</v>
      </c>
    </row>
    <row r="636" spans="1:17" x14ac:dyDescent="0.3">
      <c r="A636">
        <v>1635</v>
      </c>
      <c r="B636">
        <v>5</v>
      </c>
      <c r="C636">
        <v>8</v>
      </c>
      <c r="D636">
        <v>1</v>
      </c>
      <c r="E636">
        <v>1</v>
      </c>
      <c r="F636">
        <v>10</v>
      </c>
      <c r="G636">
        <v>0</v>
      </c>
      <c r="H636">
        <v>67</v>
      </c>
      <c r="I636">
        <v>1</v>
      </c>
      <c r="J636">
        <v>66</v>
      </c>
      <c r="K636">
        <f t="shared" si="63"/>
        <v>5</v>
      </c>
      <c r="L636">
        <f t="shared" si="64"/>
        <v>50</v>
      </c>
      <c r="M636">
        <f t="shared" si="65"/>
        <v>40</v>
      </c>
      <c r="N636">
        <f t="shared" si="66"/>
        <v>10</v>
      </c>
      <c r="O636">
        <f t="shared" si="67"/>
        <v>35</v>
      </c>
      <c r="P636" t="str">
        <f t="shared" si="68"/>
        <v>Needs Improvement</v>
      </c>
      <c r="Q636" t="str">
        <f t="shared" si="69"/>
        <v>Low</v>
      </c>
    </row>
    <row r="637" spans="1:17" x14ac:dyDescent="0.3">
      <c r="A637">
        <v>1636</v>
      </c>
      <c r="B637">
        <v>5</v>
      </c>
      <c r="C637">
        <v>4</v>
      </c>
      <c r="D637">
        <v>10</v>
      </c>
      <c r="E637">
        <v>8</v>
      </c>
      <c r="F637">
        <v>8</v>
      </c>
      <c r="G637">
        <v>8</v>
      </c>
      <c r="H637">
        <v>125</v>
      </c>
      <c r="I637">
        <v>5</v>
      </c>
      <c r="J637">
        <v>57</v>
      </c>
      <c r="K637">
        <f t="shared" si="63"/>
        <v>7</v>
      </c>
      <c r="L637">
        <f t="shared" si="64"/>
        <v>70</v>
      </c>
      <c r="M637">
        <f t="shared" si="65"/>
        <v>40</v>
      </c>
      <c r="N637">
        <f t="shared" si="66"/>
        <v>90</v>
      </c>
      <c r="O637">
        <f t="shared" si="67"/>
        <v>67</v>
      </c>
      <c r="P637" t="str">
        <f t="shared" si="68"/>
        <v>Needs Improvement</v>
      </c>
      <c r="Q637" t="str">
        <f t="shared" si="69"/>
        <v>Medium</v>
      </c>
    </row>
    <row r="638" spans="1:17" x14ac:dyDescent="0.3">
      <c r="A638">
        <v>1637</v>
      </c>
      <c r="B638">
        <v>7</v>
      </c>
      <c r="C638">
        <v>4</v>
      </c>
      <c r="D638">
        <v>1</v>
      </c>
      <c r="E638">
        <v>7</v>
      </c>
      <c r="F638">
        <v>1</v>
      </c>
      <c r="G638">
        <v>0</v>
      </c>
      <c r="H638">
        <v>296</v>
      </c>
      <c r="I638">
        <v>5</v>
      </c>
      <c r="J638">
        <v>73</v>
      </c>
      <c r="K638">
        <f t="shared" si="63"/>
        <v>4</v>
      </c>
      <c r="L638">
        <f t="shared" si="64"/>
        <v>40</v>
      </c>
      <c r="M638">
        <f t="shared" si="65"/>
        <v>80</v>
      </c>
      <c r="N638">
        <f t="shared" si="66"/>
        <v>50</v>
      </c>
      <c r="O638">
        <f t="shared" si="67"/>
        <v>55</v>
      </c>
      <c r="P638" t="str">
        <f t="shared" si="68"/>
        <v>Needs Improvement</v>
      </c>
      <c r="Q638" t="str">
        <f t="shared" si="69"/>
        <v>Medium</v>
      </c>
    </row>
    <row r="639" spans="1:17" x14ac:dyDescent="0.3">
      <c r="A639">
        <v>1638</v>
      </c>
      <c r="B639">
        <v>5</v>
      </c>
      <c r="C639">
        <v>8</v>
      </c>
      <c r="D639">
        <v>7</v>
      </c>
      <c r="E639">
        <v>7</v>
      </c>
      <c r="F639">
        <v>9</v>
      </c>
      <c r="G639">
        <v>5</v>
      </c>
      <c r="H639">
        <v>250</v>
      </c>
      <c r="I639">
        <v>3</v>
      </c>
      <c r="J639">
        <v>86</v>
      </c>
      <c r="K639">
        <f t="shared" si="63"/>
        <v>7.2</v>
      </c>
      <c r="L639">
        <f t="shared" si="64"/>
        <v>72</v>
      </c>
      <c r="M639">
        <f t="shared" si="65"/>
        <v>80</v>
      </c>
      <c r="N639">
        <f t="shared" si="66"/>
        <v>55</v>
      </c>
      <c r="O639">
        <f t="shared" si="67"/>
        <v>69</v>
      </c>
      <c r="P639" t="str">
        <f t="shared" si="68"/>
        <v>Placement Ready</v>
      </c>
      <c r="Q639" t="str">
        <f t="shared" si="69"/>
        <v>Medium</v>
      </c>
    </row>
    <row r="640" spans="1:17" x14ac:dyDescent="0.3">
      <c r="A640">
        <v>1639</v>
      </c>
      <c r="B640">
        <v>2</v>
      </c>
      <c r="C640">
        <v>6</v>
      </c>
      <c r="D640">
        <v>4</v>
      </c>
      <c r="E640">
        <v>4</v>
      </c>
      <c r="F640">
        <v>4</v>
      </c>
      <c r="G640">
        <v>0</v>
      </c>
      <c r="H640">
        <v>90</v>
      </c>
      <c r="I640">
        <v>4</v>
      </c>
      <c r="J640">
        <v>93</v>
      </c>
      <c r="K640">
        <f t="shared" si="63"/>
        <v>4</v>
      </c>
      <c r="L640">
        <f t="shared" si="64"/>
        <v>40</v>
      </c>
      <c r="M640">
        <f t="shared" si="65"/>
        <v>40</v>
      </c>
      <c r="N640">
        <f t="shared" si="66"/>
        <v>40</v>
      </c>
      <c r="O640">
        <f t="shared" si="67"/>
        <v>40</v>
      </c>
      <c r="P640" t="str">
        <f t="shared" si="68"/>
        <v>Placement Ready</v>
      </c>
      <c r="Q640" t="str">
        <f t="shared" si="69"/>
        <v>Medium</v>
      </c>
    </row>
    <row r="641" spans="1:17" x14ac:dyDescent="0.3">
      <c r="A641">
        <v>1640</v>
      </c>
      <c r="B641">
        <v>10</v>
      </c>
      <c r="C641">
        <v>6</v>
      </c>
      <c r="D641">
        <v>10</v>
      </c>
      <c r="E641">
        <v>7</v>
      </c>
      <c r="F641">
        <v>7</v>
      </c>
      <c r="G641">
        <v>1</v>
      </c>
      <c r="H641">
        <v>363</v>
      </c>
      <c r="I641">
        <v>2</v>
      </c>
      <c r="J641">
        <v>56</v>
      </c>
      <c r="K641">
        <f t="shared" si="63"/>
        <v>8</v>
      </c>
      <c r="L641">
        <f t="shared" si="64"/>
        <v>80</v>
      </c>
      <c r="M641">
        <f t="shared" si="65"/>
        <v>80</v>
      </c>
      <c r="N641">
        <f t="shared" si="66"/>
        <v>25</v>
      </c>
      <c r="O641">
        <f t="shared" si="67"/>
        <v>64</v>
      </c>
      <c r="P641" t="str">
        <f t="shared" si="68"/>
        <v>Needs Improvement</v>
      </c>
      <c r="Q641" t="str">
        <f t="shared" si="69"/>
        <v>Medium</v>
      </c>
    </row>
    <row r="642" spans="1:17" x14ac:dyDescent="0.3">
      <c r="A642">
        <v>1641</v>
      </c>
      <c r="B642">
        <v>4</v>
      </c>
      <c r="C642">
        <v>9</v>
      </c>
      <c r="D642">
        <v>8</v>
      </c>
      <c r="E642">
        <v>5</v>
      </c>
      <c r="F642">
        <v>2</v>
      </c>
      <c r="G642">
        <v>3</v>
      </c>
      <c r="H642">
        <v>402</v>
      </c>
      <c r="I642">
        <v>0</v>
      </c>
      <c r="J642">
        <v>91</v>
      </c>
      <c r="K642">
        <f t="shared" si="63"/>
        <v>5.6</v>
      </c>
      <c r="L642">
        <f t="shared" si="64"/>
        <v>56</v>
      </c>
      <c r="M642">
        <f t="shared" si="65"/>
        <v>100</v>
      </c>
      <c r="N642">
        <f t="shared" si="66"/>
        <v>15</v>
      </c>
      <c r="O642">
        <f t="shared" si="67"/>
        <v>57</v>
      </c>
      <c r="P642" t="str">
        <f t="shared" si="68"/>
        <v>Placement Ready</v>
      </c>
      <c r="Q642" t="str">
        <f t="shared" si="69"/>
        <v>Medium</v>
      </c>
    </row>
    <row r="643" spans="1:17" x14ac:dyDescent="0.3">
      <c r="A643">
        <v>1642</v>
      </c>
      <c r="B643">
        <v>5</v>
      </c>
      <c r="C643">
        <v>5</v>
      </c>
      <c r="D643">
        <v>7</v>
      </c>
      <c r="E643">
        <v>10</v>
      </c>
      <c r="F643">
        <v>2</v>
      </c>
      <c r="G643">
        <v>8</v>
      </c>
      <c r="H643">
        <v>351</v>
      </c>
      <c r="I643">
        <v>3</v>
      </c>
      <c r="J643">
        <v>43</v>
      </c>
      <c r="K643">
        <f t="shared" ref="K643:K706" si="70">AVERAGE(B643:F643)</f>
        <v>5.8</v>
      </c>
      <c r="L643">
        <f t="shared" ref="L643:L706" si="71">K643*10</f>
        <v>58</v>
      </c>
      <c r="M643">
        <f t="shared" ref="M643:M706" si="72">IF(H643&gt;=400,100,IF(H643&gt;=250,80,IF(H643&gt;=150,60,40)))</f>
        <v>80</v>
      </c>
      <c r="N643">
        <f t="shared" ref="N643:N706" si="73">(G643*5)+(I643*10)</f>
        <v>70</v>
      </c>
      <c r="O643">
        <f t="shared" ref="O643:O706" si="74">ROUND((L643*0.4)+(M643*0.3)+(N643*0.3),0)</f>
        <v>68</v>
      </c>
      <c r="P643" t="str">
        <f t="shared" ref="P643:P706" si="75">IF(J643&gt;=75,"Placement Ready",IF(J643&gt;=50,"Needs Improvement","Not Ready"))</f>
        <v>Not Ready</v>
      </c>
      <c r="Q643" t="str">
        <f t="shared" ref="Q643:Q706" si="76">IF(O643&lt;40,"Low",IF(O643&lt;=70,"Medium","High"))</f>
        <v>Medium</v>
      </c>
    </row>
    <row r="644" spans="1:17" x14ac:dyDescent="0.3">
      <c r="A644">
        <v>1643</v>
      </c>
      <c r="B644">
        <v>10</v>
      </c>
      <c r="C644">
        <v>6</v>
      </c>
      <c r="D644">
        <v>2</v>
      </c>
      <c r="E644">
        <v>9</v>
      </c>
      <c r="F644">
        <v>9</v>
      </c>
      <c r="G644">
        <v>6</v>
      </c>
      <c r="H644">
        <v>203</v>
      </c>
      <c r="I644">
        <v>0</v>
      </c>
      <c r="J644">
        <v>84</v>
      </c>
      <c r="K644">
        <f t="shared" si="70"/>
        <v>7.2</v>
      </c>
      <c r="L644">
        <f t="shared" si="71"/>
        <v>72</v>
      </c>
      <c r="M644">
        <f t="shared" si="72"/>
        <v>60</v>
      </c>
      <c r="N644">
        <f t="shared" si="73"/>
        <v>30</v>
      </c>
      <c r="O644">
        <f t="shared" si="74"/>
        <v>56</v>
      </c>
      <c r="P644" t="str">
        <f t="shared" si="75"/>
        <v>Placement Ready</v>
      </c>
      <c r="Q644" t="str">
        <f t="shared" si="76"/>
        <v>Medium</v>
      </c>
    </row>
    <row r="645" spans="1:17" x14ac:dyDescent="0.3">
      <c r="A645">
        <v>1644</v>
      </c>
      <c r="B645">
        <v>5</v>
      </c>
      <c r="C645">
        <v>4</v>
      </c>
      <c r="D645">
        <v>2</v>
      </c>
      <c r="E645">
        <v>7</v>
      </c>
      <c r="F645">
        <v>10</v>
      </c>
      <c r="G645">
        <v>2</v>
      </c>
      <c r="H645">
        <v>349</v>
      </c>
      <c r="I645">
        <v>4</v>
      </c>
      <c r="J645">
        <v>79</v>
      </c>
      <c r="K645">
        <f t="shared" si="70"/>
        <v>5.6</v>
      </c>
      <c r="L645">
        <f t="shared" si="71"/>
        <v>56</v>
      </c>
      <c r="M645">
        <f t="shared" si="72"/>
        <v>80</v>
      </c>
      <c r="N645">
        <f t="shared" si="73"/>
        <v>50</v>
      </c>
      <c r="O645">
        <f t="shared" si="74"/>
        <v>61</v>
      </c>
      <c r="P645" t="str">
        <f t="shared" si="75"/>
        <v>Placement Ready</v>
      </c>
      <c r="Q645" t="str">
        <f t="shared" si="76"/>
        <v>Medium</v>
      </c>
    </row>
    <row r="646" spans="1:17" x14ac:dyDescent="0.3">
      <c r="A646">
        <v>1645</v>
      </c>
      <c r="B646">
        <v>2</v>
      </c>
      <c r="C646">
        <v>2</v>
      </c>
      <c r="D646">
        <v>1</v>
      </c>
      <c r="E646">
        <v>2</v>
      </c>
      <c r="F646">
        <v>7</v>
      </c>
      <c r="G646">
        <v>0</v>
      </c>
      <c r="H646">
        <v>98</v>
      </c>
      <c r="I646">
        <v>0</v>
      </c>
      <c r="J646">
        <v>73</v>
      </c>
      <c r="K646">
        <f t="shared" si="70"/>
        <v>2.8</v>
      </c>
      <c r="L646">
        <f t="shared" si="71"/>
        <v>28</v>
      </c>
      <c r="M646">
        <f t="shared" si="72"/>
        <v>40</v>
      </c>
      <c r="N646">
        <f t="shared" si="73"/>
        <v>0</v>
      </c>
      <c r="O646">
        <f t="shared" si="74"/>
        <v>23</v>
      </c>
      <c r="P646" t="str">
        <f t="shared" si="75"/>
        <v>Needs Improvement</v>
      </c>
      <c r="Q646" t="str">
        <f t="shared" si="76"/>
        <v>Low</v>
      </c>
    </row>
    <row r="647" spans="1:17" x14ac:dyDescent="0.3">
      <c r="A647">
        <v>1646</v>
      </c>
      <c r="B647">
        <v>5</v>
      </c>
      <c r="C647">
        <v>3</v>
      </c>
      <c r="D647">
        <v>2</v>
      </c>
      <c r="E647">
        <v>4</v>
      </c>
      <c r="F647">
        <v>8</v>
      </c>
      <c r="G647">
        <v>8</v>
      </c>
      <c r="H647">
        <v>298</v>
      </c>
      <c r="I647">
        <v>4</v>
      </c>
      <c r="J647">
        <v>46</v>
      </c>
      <c r="K647">
        <f t="shared" si="70"/>
        <v>4.4000000000000004</v>
      </c>
      <c r="L647">
        <f t="shared" si="71"/>
        <v>44</v>
      </c>
      <c r="M647">
        <f t="shared" si="72"/>
        <v>80</v>
      </c>
      <c r="N647">
        <f t="shared" si="73"/>
        <v>80</v>
      </c>
      <c r="O647">
        <f t="shared" si="74"/>
        <v>66</v>
      </c>
      <c r="P647" t="str">
        <f t="shared" si="75"/>
        <v>Not Ready</v>
      </c>
      <c r="Q647" t="str">
        <f t="shared" si="76"/>
        <v>Medium</v>
      </c>
    </row>
    <row r="648" spans="1:17" x14ac:dyDescent="0.3">
      <c r="A648">
        <v>1647</v>
      </c>
      <c r="B648">
        <v>6</v>
      </c>
      <c r="C648">
        <v>2</v>
      </c>
      <c r="D648">
        <v>5</v>
      </c>
      <c r="E648">
        <v>8</v>
      </c>
      <c r="F648">
        <v>2</v>
      </c>
      <c r="G648">
        <v>6</v>
      </c>
      <c r="H648">
        <v>53</v>
      </c>
      <c r="I648">
        <v>3</v>
      </c>
      <c r="J648">
        <v>64</v>
      </c>
      <c r="K648">
        <f t="shared" si="70"/>
        <v>4.5999999999999996</v>
      </c>
      <c r="L648">
        <f t="shared" si="71"/>
        <v>46</v>
      </c>
      <c r="M648">
        <f t="shared" si="72"/>
        <v>40</v>
      </c>
      <c r="N648">
        <f t="shared" si="73"/>
        <v>60</v>
      </c>
      <c r="O648">
        <f t="shared" si="74"/>
        <v>48</v>
      </c>
      <c r="P648" t="str">
        <f t="shared" si="75"/>
        <v>Needs Improvement</v>
      </c>
      <c r="Q648" t="str">
        <f t="shared" si="76"/>
        <v>Medium</v>
      </c>
    </row>
    <row r="649" spans="1:17" x14ac:dyDescent="0.3">
      <c r="A649">
        <v>1648</v>
      </c>
      <c r="B649">
        <v>2</v>
      </c>
      <c r="C649">
        <v>5</v>
      </c>
      <c r="D649">
        <v>7</v>
      </c>
      <c r="E649">
        <v>10</v>
      </c>
      <c r="F649">
        <v>3</v>
      </c>
      <c r="G649">
        <v>6</v>
      </c>
      <c r="H649">
        <v>316</v>
      </c>
      <c r="I649">
        <v>1</v>
      </c>
      <c r="J649">
        <v>53</v>
      </c>
      <c r="K649">
        <f t="shared" si="70"/>
        <v>5.4</v>
      </c>
      <c r="L649">
        <f t="shared" si="71"/>
        <v>54</v>
      </c>
      <c r="M649">
        <f t="shared" si="72"/>
        <v>80</v>
      </c>
      <c r="N649">
        <f t="shared" si="73"/>
        <v>40</v>
      </c>
      <c r="O649">
        <f t="shared" si="74"/>
        <v>58</v>
      </c>
      <c r="P649" t="str">
        <f t="shared" si="75"/>
        <v>Needs Improvement</v>
      </c>
      <c r="Q649" t="str">
        <f t="shared" si="76"/>
        <v>Medium</v>
      </c>
    </row>
    <row r="650" spans="1:17" x14ac:dyDescent="0.3">
      <c r="A650">
        <v>1649</v>
      </c>
      <c r="B650">
        <v>6</v>
      </c>
      <c r="C650">
        <v>10</v>
      </c>
      <c r="D650">
        <v>3</v>
      </c>
      <c r="E650">
        <v>4</v>
      </c>
      <c r="F650">
        <v>5</v>
      </c>
      <c r="G650">
        <v>8</v>
      </c>
      <c r="H650">
        <v>115</v>
      </c>
      <c r="I650">
        <v>0</v>
      </c>
      <c r="J650">
        <v>56</v>
      </c>
      <c r="K650">
        <f t="shared" si="70"/>
        <v>5.6</v>
      </c>
      <c r="L650">
        <f t="shared" si="71"/>
        <v>56</v>
      </c>
      <c r="M650">
        <f t="shared" si="72"/>
        <v>40</v>
      </c>
      <c r="N650">
        <f t="shared" si="73"/>
        <v>40</v>
      </c>
      <c r="O650">
        <f t="shared" si="74"/>
        <v>46</v>
      </c>
      <c r="P650" t="str">
        <f t="shared" si="75"/>
        <v>Needs Improvement</v>
      </c>
      <c r="Q650" t="str">
        <f t="shared" si="76"/>
        <v>Medium</v>
      </c>
    </row>
    <row r="651" spans="1:17" x14ac:dyDescent="0.3">
      <c r="A651">
        <v>1650</v>
      </c>
      <c r="B651">
        <v>5</v>
      </c>
      <c r="C651">
        <v>5</v>
      </c>
      <c r="D651">
        <v>2</v>
      </c>
      <c r="E651">
        <v>9</v>
      </c>
      <c r="F651">
        <v>3</v>
      </c>
      <c r="G651">
        <v>6</v>
      </c>
      <c r="H651">
        <v>478</v>
      </c>
      <c r="I651">
        <v>4</v>
      </c>
      <c r="J651">
        <v>88</v>
      </c>
      <c r="K651">
        <f t="shared" si="70"/>
        <v>4.8</v>
      </c>
      <c r="L651">
        <f t="shared" si="71"/>
        <v>48</v>
      </c>
      <c r="M651">
        <f t="shared" si="72"/>
        <v>100</v>
      </c>
      <c r="N651">
        <f t="shared" si="73"/>
        <v>70</v>
      </c>
      <c r="O651">
        <f t="shared" si="74"/>
        <v>70</v>
      </c>
      <c r="P651" t="str">
        <f t="shared" si="75"/>
        <v>Placement Ready</v>
      </c>
      <c r="Q651" t="str">
        <f t="shared" si="76"/>
        <v>Medium</v>
      </c>
    </row>
    <row r="652" spans="1:17" x14ac:dyDescent="0.3">
      <c r="A652">
        <v>1651</v>
      </c>
      <c r="B652">
        <v>6</v>
      </c>
      <c r="C652">
        <v>4</v>
      </c>
      <c r="D652">
        <v>5</v>
      </c>
      <c r="E652">
        <v>10</v>
      </c>
      <c r="F652">
        <v>8</v>
      </c>
      <c r="G652">
        <v>5</v>
      </c>
      <c r="H652">
        <v>348</v>
      </c>
      <c r="I652">
        <v>2</v>
      </c>
      <c r="J652">
        <v>78</v>
      </c>
      <c r="K652">
        <f t="shared" si="70"/>
        <v>6.6</v>
      </c>
      <c r="L652">
        <f t="shared" si="71"/>
        <v>66</v>
      </c>
      <c r="M652">
        <f t="shared" si="72"/>
        <v>80</v>
      </c>
      <c r="N652">
        <f t="shared" si="73"/>
        <v>45</v>
      </c>
      <c r="O652">
        <f t="shared" si="74"/>
        <v>64</v>
      </c>
      <c r="P652" t="str">
        <f t="shared" si="75"/>
        <v>Placement Ready</v>
      </c>
      <c r="Q652" t="str">
        <f t="shared" si="76"/>
        <v>Medium</v>
      </c>
    </row>
    <row r="653" spans="1:17" x14ac:dyDescent="0.3">
      <c r="A653">
        <v>1652</v>
      </c>
      <c r="B653">
        <v>10</v>
      </c>
      <c r="C653">
        <v>2</v>
      </c>
      <c r="D653">
        <v>6</v>
      </c>
      <c r="E653">
        <v>9</v>
      </c>
      <c r="F653">
        <v>9</v>
      </c>
      <c r="G653">
        <v>8</v>
      </c>
      <c r="H653">
        <v>297</v>
      </c>
      <c r="I653">
        <v>4</v>
      </c>
      <c r="J653">
        <v>94</v>
      </c>
      <c r="K653">
        <f t="shared" si="70"/>
        <v>7.2</v>
      </c>
      <c r="L653">
        <f t="shared" si="71"/>
        <v>72</v>
      </c>
      <c r="M653">
        <f t="shared" si="72"/>
        <v>80</v>
      </c>
      <c r="N653">
        <f t="shared" si="73"/>
        <v>80</v>
      </c>
      <c r="O653">
        <f t="shared" si="74"/>
        <v>77</v>
      </c>
      <c r="P653" t="str">
        <f t="shared" si="75"/>
        <v>Placement Ready</v>
      </c>
      <c r="Q653" t="str">
        <f t="shared" si="76"/>
        <v>High</v>
      </c>
    </row>
    <row r="654" spans="1:17" x14ac:dyDescent="0.3">
      <c r="A654">
        <v>1653</v>
      </c>
      <c r="B654">
        <v>9</v>
      </c>
      <c r="C654">
        <v>3</v>
      </c>
      <c r="D654">
        <v>7</v>
      </c>
      <c r="E654">
        <v>7</v>
      </c>
      <c r="F654">
        <v>10</v>
      </c>
      <c r="G654">
        <v>7</v>
      </c>
      <c r="H654">
        <v>101</v>
      </c>
      <c r="I654">
        <v>1</v>
      </c>
      <c r="J654">
        <v>42</v>
      </c>
      <c r="K654">
        <f t="shared" si="70"/>
        <v>7.2</v>
      </c>
      <c r="L654">
        <f t="shared" si="71"/>
        <v>72</v>
      </c>
      <c r="M654">
        <f t="shared" si="72"/>
        <v>40</v>
      </c>
      <c r="N654">
        <f t="shared" si="73"/>
        <v>45</v>
      </c>
      <c r="O654">
        <f t="shared" si="74"/>
        <v>54</v>
      </c>
      <c r="P654" t="str">
        <f t="shared" si="75"/>
        <v>Not Ready</v>
      </c>
      <c r="Q654" t="str">
        <f t="shared" si="76"/>
        <v>Medium</v>
      </c>
    </row>
    <row r="655" spans="1:17" x14ac:dyDescent="0.3">
      <c r="A655">
        <v>1654</v>
      </c>
      <c r="B655">
        <v>7</v>
      </c>
      <c r="C655">
        <v>1</v>
      </c>
      <c r="D655">
        <v>9</v>
      </c>
      <c r="E655">
        <v>8</v>
      </c>
      <c r="F655">
        <v>8</v>
      </c>
      <c r="G655">
        <v>5</v>
      </c>
      <c r="H655">
        <v>173</v>
      </c>
      <c r="I655">
        <v>1</v>
      </c>
      <c r="J655">
        <v>48</v>
      </c>
      <c r="K655">
        <f t="shared" si="70"/>
        <v>6.6</v>
      </c>
      <c r="L655">
        <f t="shared" si="71"/>
        <v>66</v>
      </c>
      <c r="M655">
        <f t="shared" si="72"/>
        <v>60</v>
      </c>
      <c r="N655">
        <f t="shared" si="73"/>
        <v>35</v>
      </c>
      <c r="O655">
        <f t="shared" si="74"/>
        <v>55</v>
      </c>
      <c r="P655" t="str">
        <f t="shared" si="75"/>
        <v>Not Ready</v>
      </c>
      <c r="Q655" t="str">
        <f t="shared" si="76"/>
        <v>Medium</v>
      </c>
    </row>
    <row r="656" spans="1:17" x14ac:dyDescent="0.3">
      <c r="A656">
        <v>1655</v>
      </c>
      <c r="B656">
        <v>8</v>
      </c>
      <c r="C656">
        <v>4</v>
      </c>
      <c r="D656">
        <v>8</v>
      </c>
      <c r="E656">
        <v>6</v>
      </c>
      <c r="F656">
        <v>10</v>
      </c>
      <c r="G656">
        <v>4</v>
      </c>
      <c r="H656">
        <v>370</v>
      </c>
      <c r="I656">
        <v>4</v>
      </c>
      <c r="J656">
        <v>72</v>
      </c>
      <c r="K656">
        <f t="shared" si="70"/>
        <v>7.2</v>
      </c>
      <c r="L656">
        <f t="shared" si="71"/>
        <v>72</v>
      </c>
      <c r="M656">
        <f t="shared" si="72"/>
        <v>80</v>
      </c>
      <c r="N656">
        <f t="shared" si="73"/>
        <v>60</v>
      </c>
      <c r="O656">
        <f t="shared" si="74"/>
        <v>71</v>
      </c>
      <c r="P656" t="str">
        <f t="shared" si="75"/>
        <v>Needs Improvement</v>
      </c>
      <c r="Q656" t="str">
        <f t="shared" si="76"/>
        <v>High</v>
      </c>
    </row>
    <row r="657" spans="1:17" x14ac:dyDescent="0.3">
      <c r="A657">
        <v>1656</v>
      </c>
      <c r="B657">
        <v>9</v>
      </c>
      <c r="C657">
        <v>9</v>
      </c>
      <c r="D657">
        <v>3</v>
      </c>
      <c r="E657">
        <v>7</v>
      </c>
      <c r="F657">
        <v>6</v>
      </c>
      <c r="G657">
        <v>4</v>
      </c>
      <c r="H657">
        <v>256</v>
      </c>
      <c r="I657">
        <v>5</v>
      </c>
      <c r="J657">
        <v>89</v>
      </c>
      <c r="K657">
        <f t="shared" si="70"/>
        <v>6.8</v>
      </c>
      <c r="L657">
        <f t="shared" si="71"/>
        <v>68</v>
      </c>
      <c r="M657">
        <f t="shared" si="72"/>
        <v>80</v>
      </c>
      <c r="N657">
        <f t="shared" si="73"/>
        <v>70</v>
      </c>
      <c r="O657">
        <f t="shared" si="74"/>
        <v>72</v>
      </c>
      <c r="P657" t="str">
        <f t="shared" si="75"/>
        <v>Placement Ready</v>
      </c>
      <c r="Q657" t="str">
        <f t="shared" si="76"/>
        <v>High</v>
      </c>
    </row>
    <row r="658" spans="1:17" x14ac:dyDescent="0.3">
      <c r="A658">
        <v>1657</v>
      </c>
      <c r="B658">
        <v>9</v>
      </c>
      <c r="C658">
        <v>5</v>
      </c>
      <c r="D658">
        <v>3</v>
      </c>
      <c r="E658">
        <v>9</v>
      </c>
      <c r="F658">
        <v>6</v>
      </c>
      <c r="G658">
        <v>4</v>
      </c>
      <c r="H658">
        <v>422</v>
      </c>
      <c r="I658">
        <v>0</v>
      </c>
      <c r="J658">
        <v>77</v>
      </c>
      <c r="K658">
        <f t="shared" si="70"/>
        <v>6.4</v>
      </c>
      <c r="L658">
        <f t="shared" si="71"/>
        <v>64</v>
      </c>
      <c r="M658">
        <f t="shared" si="72"/>
        <v>100</v>
      </c>
      <c r="N658">
        <f t="shared" si="73"/>
        <v>20</v>
      </c>
      <c r="O658">
        <f t="shared" si="74"/>
        <v>62</v>
      </c>
      <c r="P658" t="str">
        <f t="shared" si="75"/>
        <v>Placement Ready</v>
      </c>
      <c r="Q658" t="str">
        <f t="shared" si="76"/>
        <v>Medium</v>
      </c>
    </row>
    <row r="659" spans="1:17" x14ac:dyDescent="0.3">
      <c r="A659">
        <v>1658</v>
      </c>
      <c r="B659">
        <v>9</v>
      </c>
      <c r="C659">
        <v>3</v>
      </c>
      <c r="D659">
        <v>6</v>
      </c>
      <c r="E659">
        <v>6</v>
      </c>
      <c r="F659">
        <v>7</v>
      </c>
      <c r="G659">
        <v>3</v>
      </c>
      <c r="H659">
        <v>448</v>
      </c>
      <c r="I659">
        <v>1</v>
      </c>
      <c r="J659">
        <v>87</v>
      </c>
      <c r="K659">
        <f t="shared" si="70"/>
        <v>6.2</v>
      </c>
      <c r="L659">
        <f t="shared" si="71"/>
        <v>62</v>
      </c>
      <c r="M659">
        <f t="shared" si="72"/>
        <v>100</v>
      </c>
      <c r="N659">
        <f t="shared" si="73"/>
        <v>25</v>
      </c>
      <c r="O659">
        <f t="shared" si="74"/>
        <v>62</v>
      </c>
      <c r="P659" t="str">
        <f t="shared" si="75"/>
        <v>Placement Ready</v>
      </c>
      <c r="Q659" t="str">
        <f t="shared" si="76"/>
        <v>Medium</v>
      </c>
    </row>
    <row r="660" spans="1:17" x14ac:dyDescent="0.3">
      <c r="A660">
        <v>1659</v>
      </c>
      <c r="B660">
        <v>2</v>
      </c>
      <c r="C660">
        <v>8</v>
      </c>
      <c r="D660">
        <v>10</v>
      </c>
      <c r="E660">
        <v>2</v>
      </c>
      <c r="F660">
        <v>3</v>
      </c>
      <c r="G660">
        <v>4</v>
      </c>
      <c r="H660">
        <v>136</v>
      </c>
      <c r="I660">
        <v>1</v>
      </c>
      <c r="J660">
        <v>69</v>
      </c>
      <c r="K660">
        <f t="shared" si="70"/>
        <v>5</v>
      </c>
      <c r="L660">
        <f t="shared" si="71"/>
        <v>50</v>
      </c>
      <c r="M660">
        <f t="shared" si="72"/>
        <v>40</v>
      </c>
      <c r="N660">
        <f t="shared" si="73"/>
        <v>30</v>
      </c>
      <c r="O660">
        <f t="shared" si="74"/>
        <v>41</v>
      </c>
      <c r="P660" t="str">
        <f t="shared" si="75"/>
        <v>Needs Improvement</v>
      </c>
      <c r="Q660" t="str">
        <f t="shared" si="76"/>
        <v>Medium</v>
      </c>
    </row>
    <row r="661" spans="1:17" x14ac:dyDescent="0.3">
      <c r="A661">
        <v>1660</v>
      </c>
      <c r="B661">
        <v>10</v>
      </c>
      <c r="C661">
        <v>6</v>
      </c>
      <c r="D661">
        <v>6</v>
      </c>
      <c r="E661">
        <v>4</v>
      </c>
      <c r="F661">
        <v>2</v>
      </c>
      <c r="G661">
        <v>8</v>
      </c>
      <c r="H661">
        <v>201</v>
      </c>
      <c r="I661">
        <v>0</v>
      </c>
      <c r="J661">
        <v>73</v>
      </c>
      <c r="K661">
        <f t="shared" si="70"/>
        <v>5.6</v>
      </c>
      <c r="L661">
        <f t="shared" si="71"/>
        <v>56</v>
      </c>
      <c r="M661">
        <f t="shared" si="72"/>
        <v>60</v>
      </c>
      <c r="N661">
        <f t="shared" si="73"/>
        <v>40</v>
      </c>
      <c r="O661">
        <f t="shared" si="74"/>
        <v>52</v>
      </c>
      <c r="P661" t="str">
        <f t="shared" si="75"/>
        <v>Needs Improvement</v>
      </c>
      <c r="Q661" t="str">
        <f t="shared" si="76"/>
        <v>Medium</v>
      </c>
    </row>
    <row r="662" spans="1:17" x14ac:dyDescent="0.3">
      <c r="A662">
        <v>1661</v>
      </c>
      <c r="B662">
        <v>7</v>
      </c>
      <c r="C662">
        <v>8</v>
      </c>
      <c r="D662">
        <v>4</v>
      </c>
      <c r="E662">
        <v>3</v>
      </c>
      <c r="F662">
        <v>2</v>
      </c>
      <c r="G662">
        <v>4</v>
      </c>
      <c r="H662">
        <v>220</v>
      </c>
      <c r="I662">
        <v>1</v>
      </c>
      <c r="J662">
        <v>94</v>
      </c>
      <c r="K662">
        <f t="shared" si="70"/>
        <v>4.8</v>
      </c>
      <c r="L662">
        <f t="shared" si="71"/>
        <v>48</v>
      </c>
      <c r="M662">
        <f t="shared" si="72"/>
        <v>60</v>
      </c>
      <c r="N662">
        <f t="shared" si="73"/>
        <v>30</v>
      </c>
      <c r="O662">
        <f t="shared" si="74"/>
        <v>46</v>
      </c>
      <c r="P662" t="str">
        <f t="shared" si="75"/>
        <v>Placement Ready</v>
      </c>
      <c r="Q662" t="str">
        <f t="shared" si="76"/>
        <v>Medium</v>
      </c>
    </row>
    <row r="663" spans="1:17" x14ac:dyDescent="0.3">
      <c r="A663">
        <v>1662</v>
      </c>
      <c r="B663">
        <v>6</v>
      </c>
      <c r="C663">
        <v>6</v>
      </c>
      <c r="D663">
        <v>9</v>
      </c>
      <c r="E663">
        <v>1</v>
      </c>
      <c r="F663">
        <v>9</v>
      </c>
      <c r="G663">
        <v>1</v>
      </c>
      <c r="H663">
        <v>155</v>
      </c>
      <c r="I663">
        <v>5</v>
      </c>
      <c r="J663">
        <v>95</v>
      </c>
      <c r="K663">
        <f t="shared" si="70"/>
        <v>6.2</v>
      </c>
      <c r="L663">
        <f t="shared" si="71"/>
        <v>62</v>
      </c>
      <c r="M663">
        <f t="shared" si="72"/>
        <v>60</v>
      </c>
      <c r="N663">
        <f t="shared" si="73"/>
        <v>55</v>
      </c>
      <c r="O663">
        <f t="shared" si="74"/>
        <v>59</v>
      </c>
      <c r="P663" t="str">
        <f t="shared" si="75"/>
        <v>Placement Ready</v>
      </c>
      <c r="Q663" t="str">
        <f t="shared" si="76"/>
        <v>Medium</v>
      </c>
    </row>
    <row r="664" spans="1:17" x14ac:dyDescent="0.3">
      <c r="A664">
        <v>1663</v>
      </c>
      <c r="B664">
        <v>3</v>
      </c>
      <c r="C664">
        <v>3</v>
      </c>
      <c r="D664">
        <v>7</v>
      </c>
      <c r="E664">
        <v>1</v>
      </c>
      <c r="F664">
        <v>4</v>
      </c>
      <c r="G664">
        <v>3</v>
      </c>
      <c r="H664">
        <v>118</v>
      </c>
      <c r="I664">
        <v>4</v>
      </c>
      <c r="J664">
        <v>92</v>
      </c>
      <c r="K664">
        <f t="shared" si="70"/>
        <v>3.6</v>
      </c>
      <c r="L664">
        <f t="shared" si="71"/>
        <v>36</v>
      </c>
      <c r="M664">
        <f t="shared" si="72"/>
        <v>40</v>
      </c>
      <c r="N664">
        <f t="shared" si="73"/>
        <v>55</v>
      </c>
      <c r="O664">
        <f t="shared" si="74"/>
        <v>43</v>
      </c>
      <c r="P664" t="str">
        <f t="shared" si="75"/>
        <v>Placement Ready</v>
      </c>
      <c r="Q664" t="str">
        <f t="shared" si="76"/>
        <v>Medium</v>
      </c>
    </row>
    <row r="665" spans="1:17" x14ac:dyDescent="0.3">
      <c r="A665">
        <v>1664</v>
      </c>
      <c r="B665">
        <v>6</v>
      </c>
      <c r="C665">
        <v>7</v>
      </c>
      <c r="D665">
        <v>6</v>
      </c>
      <c r="E665">
        <v>7</v>
      </c>
      <c r="F665">
        <v>9</v>
      </c>
      <c r="G665">
        <v>3</v>
      </c>
      <c r="H665">
        <v>64</v>
      </c>
      <c r="I665">
        <v>1</v>
      </c>
      <c r="J665">
        <v>74</v>
      </c>
      <c r="K665">
        <f t="shared" si="70"/>
        <v>7</v>
      </c>
      <c r="L665">
        <f t="shared" si="71"/>
        <v>70</v>
      </c>
      <c r="M665">
        <f t="shared" si="72"/>
        <v>40</v>
      </c>
      <c r="N665">
        <f t="shared" si="73"/>
        <v>25</v>
      </c>
      <c r="O665">
        <f t="shared" si="74"/>
        <v>48</v>
      </c>
      <c r="P665" t="str">
        <f t="shared" si="75"/>
        <v>Needs Improvement</v>
      </c>
      <c r="Q665" t="str">
        <f t="shared" si="76"/>
        <v>Medium</v>
      </c>
    </row>
    <row r="666" spans="1:17" x14ac:dyDescent="0.3">
      <c r="A666">
        <v>1665</v>
      </c>
      <c r="B666">
        <v>1</v>
      </c>
      <c r="C666">
        <v>2</v>
      </c>
      <c r="D666">
        <v>4</v>
      </c>
      <c r="E666">
        <v>5</v>
      </c>
      <c r="F666">
        <v>5</v>
      </c>
      <c r="G666">
        <v>0</v>
      </c>
      <c r="H666">
        <v>346</v>
      </c>
      <c r="I666">
        <v>2</v>
      </c>
      <c r="J666">
        <v>59</v>
      </c>
      <c r="K666">
        <f t="shared" si="70"/>
        <v>3.4</v>
      </c>
      <c r="L666">
        <f t="shared" si="71"/>
        <v>34</v>
      </c>
      <c r="M666">
        <f t="shared" si="72"/>
        <v>80</v>
      </c>
      <c r="N666">
        <f t="shared" si="73"/>
        <v>20</v>
      </c>
      <c r="O666">
        <f t="shared" si="74"/>
        <v>44</v>
      </c>
      <c r="P666" t="str">
        <f t="shared" si="75"/>
        <v>Needs Improvement</v>
      </c>
      <c r="Q666" t="str">
        <f t="shared" si="76"/>
        <v>Medium</v>
      </c>
    </row>
    <row r="667" spans="1:17" x14ac:dyDescent="0.3">
      <c r="A667">
        <v>1666</v>
      </c>
      <c r="B667">
        <v>5</v>
      </c>
      <c r="C667">
        <v>8</v>
      </c>
      <c r="D667">
        <v>2</v>
      </c>
      <c r="E667">
        <v>1</v>
      </c>
      <c r="F667">
        <v>6</v>
      </c>
      <c r="G667">
        <v>2</v>
      </c>
      <c r="H667">
        <v>153</v>
      </c>
      <c r="I667">
        <v>2</v>
      </c>
      <c r="J667">
        <v>46</v>
      </c>
      <c r="K667">
        <f t="shared" si="70"/>
        <v>4.4000000000000004</v>
      </c>
      <c r="L667">
        <f t="shared" si="71"/>
        <v>44</v>
      </c>
      <c r="M667">
        <f t="shared" si="72"/>
        <v>60</v>
      </c>
      <c r="N667">
        <f t="shared" si="73"/>
        <v>30</v>
      </c>
      <c r="O667">
        <f t="shared" si="74"/>
        <v>45</v>
      </c>
      <c r="P667" t="str">
        <f t="shared" si="75"/>
        <v>Not Ready</v>
      </c>
      <c r="Q667" t="str">
        <f t="shared" si="76"/>
        <v>Medium</v>
      </c>
    </row>
    <row r="668" spans="1:17" x14ac:dyDescent="0.3">
      <c r="A668">
        <v>1667</v>
      </c>
      <c r="B668">
        <v>9</v>
      </c>
      <c r="C668">
        <v>10</v>
      </c>
      <c r="D668">
        <v>1</v>
      </c>
      <c r="E668">
        <v>6</v>
      </c>
      <c r="F668">
        <v>4</v>
      </c>
      <c r="G668">
        <v>5</v>
      </c>
      <c r="H668">
        <v>213</v>
      </c>
      <c r="I668">
        <v>1</v>
      </c>
      <c r="J668">
        <v>73</v>
      </c>
      <c r="K668">
        <f t="shared" si="70"/>
        <v>6</v>
      </c>
      <c r="L668">
        <f t="shared" si="71"/>
        <v>60</v>
      </c>
      <c r="M668">
        <f t="shared" si="72"/>
        <v>60</v>
      </c>
      <c r="N668">
        <f t="shared" si="73"/>
        <v>35</v>
      </c>
      <c r="O668">
        <f t="shared" si="74"/>
        <v>53</v>
      </c>
      <c r="P668" t="str">
        <f t="shared" si="75"/>
        <v>Needs Improvement</v>
      </c>
      <c r="Q668" t="str">
        <f t="shared" si="76"/>
        <v>Medium</v>
      </c>
    </row>
    <row r="669" spans="1:17" x14ac:dyDescent="0.3">
      <c r="A669">
        <v>1668</v>
      </c>
      <c r="B669">
        <v>8</v>
      </c>
      <c r="C669">
        <v>9</v>
      </c>
      <c r="D669">
        <v>7</v>
      </c>
      <c r="E669">
        <v>3</v>
      </c>
      <c r="F669">
        <v>2</v>
      </c>
      <c r="G669">
        <v>1</v>
      </c>
      <c r="H669">
        <v>199</v>
      </c>
      <c r="I669">
        <v>0</v>
      </c>
      <c r="J669">
        <v>59</v>
      </c>
      <c r="K669">
        <f t="shared" si="70"/>
        <v>5.8</v>
      </c>
      <c r="L669">
        <f t="shared" si="71"/>
        <v>58</v>
      </c>
      <c r="M669">
        <f t="shared" si="72"/>
        <v>60</v>
      </c>
      <c r="N669">
        <f t="shared" si="73"/>
        <v>5</v>
      </c>
      <c r="O669">
        <f t="shared" si="74"/>
        <v>43</v>
      </c>
      <c r="P669" t="str">
        <f t="shared" si="75"/>
        <v>Needs Improvement</v>
      </c>
      <c r="Q669" t="str">
        <f t="shared" si="76"/>
        <v>Medium</v>
      </c>
    </row>
    <row r="670" spans="1:17" x14ac:dyDescent="0.3">
      <c r="A670">
        <v>1669</v>
      </c>
      <c r="B670">
        <v>5</v>
      </c>
      <c r="C670">
        <v>2</v>
      </c>
      <c r="D670">
        <v>3</v>
      </c>
      <c r="E670">
        <v>9</v>
      </c>
      <c r="F670">
        <v>5</v>
      </c>
      <c r="G670">
        <v>2</v>
      </c>
      <c r="H670">
        <v>448</v>
      </c>
      <c r="I670">
        <v>4</v>
      </c>
      <c r="J670">
        <v>85</v>
      </c>
      <c r="K670">
        <f t="shared" si="70"/>
        <v>4.8</v>
      </c>
      <c r="L670">
        <f t="shared" si="71"/>
        <v>48</v>
      </c>
      <c r="M670">
        <f t="shared" si="72"/>
        <v>100</v>
      </c>
      <c r="N670">
        <f t="shared" si="73"/>
        <v>50</v>
      </c>
      <c r="O670">
        <f t="shared" si="74"/>
        <v>64</v>
      </c>
      <c r="P670" t="str">
        <f t="shared" si="75"/>
        <v>Placement Ready</v>
      </c>
      <c r="Q670" t="str">
        <f t="shared" si="76"/>
        <v>Medium</v>
      </c>
    </row>
    <row r="671" spans="1:17" x14ac:dyDescent="0.3">
      <c r="A671">
        <v>1670</v>
      </c>
      <c r="B671">
        <v>7</v>
      </c>
      <c r="C671">
        <v>9</v>
      </c>
      <c r="D671">
        <v>10</v>
      </c>
      <c r="E671">
        <v>4</v>
      </c>
      <c r="F671">
        <v>7</v>
      </c>
      <c r="G671">
        <v>2</v>
      </c>
      <c r="H671">
        <v>222</v>
      </c>
      <c r="I671">
        <v>4</v>
      </c>
      <c r="J671">
        <v>65</v>
      </c>
      <c r="K671">
        <f t="shared" si="70"/>
        <v>7.4</v>
      </c>
      <c r="L671">
        <f t="shared" si="71"/>
        <v>74</v>
      </c>
      <c r="M671">
        <f t="shared" si="72"/>
        <v>60</v>
      </c>
      <c r="N671">
        <f t="shared" si="73"/>
        <v>50</v>
      </c>
      <c r="O671">
        <f t="shared" si="74"/>
        <v>63</v>
      </c>
      <c r="P671" t="str">
        <f t="shared" si="75"/>
        <v>Needs Improvement</v>
      </c>
      <c r="Q671" t="str">
        <f t="shared" si="76"/>
        <v>Medium</v>
      </c>
    </row>
    <row r="672" spans="1:17" x14ac:dyDescent="0.3">
      <c r="A672">
        <v>1671</v>
      </c>
      <c r="B672">
        <v>5</v>
      </c>
      <c r="C672">
        <v>8</v>
      </c>
      <c r="D672">
        <v>2</v>
      </c>
      <c r="E672">
        <v>10</v>
      </c>
      <c r="F672">
        <v>10</v>
      </c>
      <c r="G672">
        <v>3</v>
      </c>
      <c r="H672">
        <v>135</v>
      </c>
      <c r="I672">
        <v>0</v>
      </c>
      <c r="J672">
        <v>76</v>
      </c>
      <c r="K672">
        <f t="shared" si="70"/>
        <v>7</v>
      </c>
      <c r="L672">
        <f t="shared" si="71"/>
        <v>70</v>
      </c>
      <c r="M672">
        <f t="shared" si="72"/>
        <v>40</v>
      </c>
      <c r="N672">
        <f t="shared" si="73"/>
        <v>15</v>
      </c>
      <c r="O672">
        <f t="shared" si="74"/>
        <v>45</v>
      </c>
      <c r="P672" t="str">
        <f t="shared" si="75"/>
        <v>Placement Ready</v>
      </c>
      <c r="Q672" t="str">
        <f t="shared" si="76"/>
        <v>Medium</v>
      </c>
    </row>
    <row r="673" spans="1:17" x14ac:dyDescent="0.3">
      <c r="A673">
        <v>1672</v>
      </c>
      <c r="B673">
        <v>4</v>
      </c>
      <c r="C673">
        <v>2</v>
      </c>
      <c r="D673">
        <v>9</v>
      </c>
      <c r="E673">
        <v>3</v>
      </c>
      <c r="F673">
        <v>3</v>
      </c>
      <c r="G673">
        <v>5</v>
      </c>
      <c r="H673">
        <v>196</v>
      </c>
      <c r="I673">
        <v>2</v>
      </c>
      <c r="J673">
        <v>89</v>
      </c>
      <c r="K673">
        <f t="shared" si="70"/>
        <v>4.2</v>
      </c>
      <c r="L673">
        <f t="shared" si="71"/>
        <v>42</v>
      </c>
      <c r="M673">
        <f t="shared" si="72"/>
        <v>60</v>
      </c>
      <c r="N673">
        <f t="shared" si="73"/>
        <v>45</v>
      </c>
      <c r="O673">
        <f t="shared" si="74"/>
        <v>48</v>
      </c>
      <c r="P673" t="str">
        <f t="shared" si="75"/>
        <v>Placement Ready</v>
      </c>
      <c r="Q673" t="str">
        <f t="shared" si="76"/>
        <v>Medium</v>
      </c>
    </row>
    <row r="674" spans="1:17" x14ac:dyDescent="0.3">
      <c r="A674">
        <v>1673</v>
      </c>
      <c r="B674">
        <v>2</v>
      </c>
      <c r="C674">
        <v>5</v>
      </c>
      <c r="D674">
        <v>8</v>
      </c>
      <c r="E674">
        <v>4</v>
      </c>
      <c r="F674">
        <v>8</v>
      </c>
      <c r="G674">
        <v>3</v>
      </c>
      <c r="H674">
        <v>491</v>
      </c>
      <c r="I674">
        <v>3</v>
      </c>
      <c r="J674">
        <v>93</v>
      </c>
      <c r="K674">
        <f t="shared" si="70"/>
        <v>5.4</v>
      </c>
      <c r="L674">
        <f t="shared" si="71"/>
        <v>54</v>
      </c>
      <c r="M674">
        <f t="shared" si="72"/>
        <v>100</v>
      </c>
      <c r="N674">
        <f t="shared" si="73"/>
        <v>45</v>
      </c>
      <c r="O674">
        <f t="shared" si="74"/>
        <v>65</v>
      </c>
      <c r="P674" t="str">
        <f t="shared" si="75"/>
        <v>Placement Ready</v>
      </c>
      <c r="Q674" t="str">
        <f t="shared" si="76"/>
        <v>Medium</v>
      </c>
    </row>
    <row r="675" spans="1:17" x14ac:dyDescent="0.3">
      <c r="A675">
        <v>1674</v>
      </c>
      <c r="B675">
        <v>2</v>
      </c>
      <c r="C675">
        <v>6</v>
      </c>
      <c r="D675">
        <v>1</v>
      </c>
      <c r="E675">
        <v>9</v>
      </c>
      <c r="F675">
        <v>2</v>
      </c>
      <c r="G675">
        <v>4</v>
      </c>
      <c r="H675">
        <v>349</v>
      </c>
      <c r="I675">
        <v>4</v>
      </c>
      <c r="J675">
        <v>57</v>
      </c>
      <c r="K675">
        <f t="shared" si="70"/>
        <v>4</v>
      </c>
      <c r="L675">
        <f t="shared" si="71"/>
        <v>40</v>
      </c>
      <c r="M675">
        <f t="shared" si="72"/>
        <v>80</v>
      </c>
      <c r="N675">
        <f t="shared" si="73"/>
        <v>60</v>
      </c>
      <c r="O675">
        <f t="shared" si="74"/>
        <v>58</v>
      </c>
      <c r="P675" t="str">
        <f t="shared" si="75"/>
        <v>Needs Improvement</v>
      </c>
      <c r="Q675" t="str">
        <f t="shared" si="76"/>
        <v>Medium</v>
      </c>
    </row>
    <row r="676" spans="1:17" x14ac:dyDescent="0.3">
      <c r="A676">
        <v>1675</v>
      </c>
      <c r="B676">
        <v>9</v>
      </c>
      <c r="C676">
        <v>10</v>
      </c>
      <c r="D676">
        <v>3</v>
      </c>
      <c r="E676">
        <v>7</v>
      </c>
      <c r="F676">
        <v>3</v>
      </c>
      <c r="G676">
        <v>2</v>
      </c>
      <c r="H676">
        <v>317</v>
      </c>
      <c r="I676">
        <v>0</v>
      </c>
      <c r="J676">
        <v>60</v>
      </c>
      <c r="K676">
        <f t="shared" si="70"/>
        <v>6.4</v>
      </c>
      <c r="L676">
        <f t="shared" si="71"/>
        <v>64</v>
      </c>
      <c r="M676">
        <f t="shared" si="72"/>
        <v>80</v>
      </c>
      <c r="N676">
        <f t="shared" si="73"/>
        <v>10</v>
      </c>
      <c r="O676">
        <f t="shared" si="74"/>
        <v>53</v>
      </c>
      <c r="P676" t="str">
        <f t="shared" si="75"/>
        <v>Needs Improvement</v>
      </c>
      <c r="Q676" t="str">
        <f t="shared" si="76"/>
        <v>Medium</v>
      </c>
    </row>
    <row r="677" spans="1:17" x14ac:dyDescent="0.3">
      <c r="A677">
        <v>1676</v>
      </c>
      <c r="B677">
        <v>9</v>
      </c>
      <c r="C677">
        <v>4</v>
      </c>
      <c r="D677">
        <v>9</v>
      </c>
      <c r="E677">
        <v>8</v>
      </c>
      <c r="F677">
        <v>3</v>
      </c>
      <c r="G677">
        <v>6</v>
      </c>
      <c r="H677">
        <v>485</v>
      </c>
      <c r="I677">
        <v>0</v>
      </c>
      <c r="J677">
        <v>67</v>
      </c>
      <c r="K677">
        <f t="shared" si="70"/>
        <v>6.6</v>
      </c>
      <c r="L677">
        <f t="shared" si="71"/>
        <v>66</v>
      </c>
      <c r="M677">
        <f t="shared" si="72"/>
        <v>100</v>
      </c>
      <c r="N677">
        <f t="shared" si="73"/>
        <v>30</v>
      </c>
      <c r="O677">
        <f t="shared" si="74"/>
        <v>65</v>
      </c>
      <c r="P677" t="str">
        <f t="shared" si="75"/>
        <v>Needs Improvement</v>
      </c>
      <c r="Q677" t="str">
        <f t="shared" si="76"/>
        <v>Medium</v>
      </c>
    </row>
    <row r="678" spans="1:17" x14ac:dyDescent="0.3">
      <c r="A678">
        <v>1677</v>
      </c>
      <c r="B678">
        <v>4</v>
      </c>
      <c r="C678">
        <v>6</v>
      </c>
      <c r="D678">
        <v>8</v>
      </c>
      <c r="E678">
        <v>1</v>
      </c>
      <c r="F678">
        <v>7</v>
      </c>
      <c r="G678">
        <v>8</v>
      </c>
      <c r="H678">
        <v>468</v>
      </c>
      <c r="I678">
        <v>5</v>
      </c>
      <c r="J678">
        <v>40</v>
      </c>
      <c r="K678">
        <f t="shared" si="70"/>
        <v>5.2</v>
      </c>
      <c r="L678">
        <f t="shared" si="71"/>
        <v>52</v>
      </c>
      <c r="M678">
        <f t="shared" si="72"/>
        <v>100</v>
      </c>
      <c r="N678">
        <f t="shared" si="73"/>
        <v>90</v>
      </c>
      <c r="O678">
        <f t="shared" si="74"/>
        <v>78</v>
      </c>
      <c r="P678" t="str">
        <f t="shared" si="75"/>
        <v>Not Ready</v>
      </c>
      <c r="Q678" t="str">
        <f t="shared" si="76"/>
        <v>High</v>
      </c>
    </row>
    <row r="679" spans="1:17" x14ac:dyDescent="0.3">
      <c r="A679">
        <v>1678</v>
      </c>
      <c r="B679">
        <v>3</v>
      </c>
      <c r="C679">
        <v>3</v>
      </c>
      <c r="D679">
        <v>1</v>
      </c>
      <c r="E679">
        <v>9</v>
      </c>
      <c r="F679">
        <v>1</v>
      </c>
      <c r="G679">
        <v>7</v>
      </c>
      <c r="H679">
        <v>160</v>
      </c>
      <c r="I679">
        <v>2</v>
      </c>
      <c r="J679">
        <v>79</v>
      </c>
      <c r="K679">
        <f t="shared" si="70"/>
        <v>3.4</v>
      </c>
      <c r="L679">
        <f t="shared" si="71"/>
        <v>34</v>
      </c>
      <c r="M679">
        <f t="shared" si="72"/>
        <v>60</v>
      </c>
      <c r="N679">
        <f t="shared" si="73"/>
        <v>55</v>
      </c>
      <c r="O679">
        <f t="shared" si="74"/>
        <v>48</v>
      </c>
      <c r="P679" t="str">
        <f t="shared" si="75"/>
        <v>Placement Ready</v>
      </c>
      <c r="Q679" t="str">
        <f t="shared" si="76"/>
        <v>Medium</v>
      </c>
    </row>
    <row r="680" spans="1:17" x14ac:dyDescent="0.3">
      <c r="A680">
        <v>1679</v>
      </c>
      <c r="B680">
        <v>9</v>
      </c>
      <c r="C680">
        <v>1</v>
      </c>
      <c r="D680">
        <v>8</v>
      </c>
      <c r="E680">
        <v>6</v>
      </c>
      <c r="F680">
        <v>3</v>
      </c>
      <c r="G680">
        <v>1</v>
      </c>
      <c r="H680">
        <v>448</v>
      </c>
      <c r="I680">
        <v>0</v>
      </c>
      <c r="J680">
        <v>55</v>
      </c>
      <c r="K680">
        <f t="shared" si="70"/>
        <v>5.4</v>
      </c>
      <c r="L680">
        <f t="shared" si="71"/>
        <v>54</v>
      </c>
      <c r="M680">
        <f t="shared" si="72"/>
        <v>100</v>
      </c>
      <c r="N680">
        <f t="shared" si="73"/>
        <v>5</v>
      </c>
      <c r="O680">
        <f t="shared" si="74"/>
        <v>53</v>
      </c>
      <c r="P680" t="str">
        <f t="shared" si="75"/>
        <v>Needs Improvement</v>
      </c>
      <c r="Q680" t="str">
        <f t="shared" si="76"/>
        <v>Medium</v>
      </c>
    </row>
    <row r="681" spans="1:17" x14ac:dyDescent="0.3">
      <c r="A681">
        <v>1680</v>
      </c>
      <c r="B681">
        <v>5</v>
      </c>
      <c r="C681">
        <v>8</v>
      </c>
      <c r="D681">
        <v>8</v>
      </c>
      <c r="E681">
        <v>2</v>
      </c>
      <c r="F681">
        <v>2</v>
      </c>
      <c r="G681">
        <v>6</v>
      </c>
      <c r="H681">
        <v>270</v>
      </c>
      <c r="I681">
        <v>5</v>
      </c>
      <c r="J681">
        <v>89</v>
      </c>
      <c r="K681">
        <f t="shared" si="70"/>
        <v>5</v>
      </c>
      <c r="L681">
        <f t="shared" si="71"/>
        <v>50</v>
      </c>
      <c r="M681">
        <f t="shared" si="72"/>
        <v>80</v>
      </c>
      <c r="N681">
        <f t="shared" si="73"/>
        <v>80</v>
      </c>
      <c r="O681">
        <f t="shared" si="74"/>
        <v>68</v>
      </c>
      <c r="P681" t="str">
        <f t="shared" si="75"/>
        <v>Placement Ready</v>
      </c>
      <c r="Q681" t="str">
        <f t="shared" si="76"/>
        <v>Medium</v>
      </c>
    </row>
    <row r="682" spans="1:17" x14ac:dyDescent="0.3">
      <c r="A682">
        <v>1681</v>
      </c>
      <c r="B682">
        <v>2</v>
      </c>
      <c r="C682">
        <v>8</v>
      </c>
      <c r="D682">
        <v>6</v>
      </c>
      <c r="E682">
        <v>2</v>
      </c>
      <c r="F682">
        <v>10</v>
      </c>
      <c r="G682">
        <v>5</v>
      </c>
      <c r="H682">
        <v>168</v>
      </c>
      <c r="I682">
        <v>1</v>
      </c>
      <c r="J682">
        <v>75</v>
      </c>
      <c r="K682">
        <f t="shared" si="70"/>
        <v>5.6</v>
      </c>
      <c r="L682">
        <f t="shared" si="71"/>
        <v>56</v>
      </c>
      <c r="M682">
        <f t="shared" si="72"/>
        <v>60</v>
      </c>
      <c r="N682">
        <f t="shared" si="73"/>
        <v>35</v>
      </c>
      <c r="O682">
        <f t="shared" si="74"/>
        <v>51</v>
      </c>
      <c r="P682" t="str">
        <f t="shared" si="75"/>
        <v>Placement Ready</v>
      </c>
      <c r="Q682" t="str">
        <f t="shared" si="76"/>
        <v>Medium</v>
      </c>
    </row>
    <row r="683" spans="1:17" x14ac:dyDescent="0.3">
      <c r="A683">
        <v>1682</v>
      </c>
      <c r="B683">
        <v>3</v>
      </c>
      <c r="C683">
        <v>7</v>
      </c>
      <c r="D683">
        <v>9</v>
      </c>
      <c r="E683">
        <v>10</v>
      </c>
      <c r="F683">
        <v>2</v>
      </c>
      <c r="G683">
        <v>3</v>
      </c>
      <c r="H683">
        <v>389</v>
      </c>
      <c r="I683">
        <v>2</v>
      </c>
      <c r="J683">
        <v>44</v>
      </c>
      <c r="K683">
        <f t="shared" si="70"/>
        <v>6.2</v>
      </c>
      <c r="L683">
        <f t="shared" si="71"/>
        <v>62</v>
      </c>
      <c r="M683">
        <f t="shared" si="72"/>
        <v>80</v>
      </c>
      <c r="N683">
        <f t="shared" si="73"/>
        <v>35</v>
      </c>
      <c r="O683">
        <f t="shared" si="74"/>
        <v>59</v>
      </c>
      <c r="P683" t="str">
        <f t="shared" si="75"/>
        <v>Not Ready</v>
      </c>
      <c r="Q683" t="str">
        <f t="shared" si="76"/>
        <v>Medium</v>
      </c>
    </row>
    <row r="684" spans="1:17" x14ac:dyDescent="0.3">
      <c r="A684">
        <v>1683</v>
      </c>
      <c r="B684">
        <v>3</v>
      </c>
      <c r="C684">
        <v>7</v>
      </c>
      <c r="D684">
        <v>1</v>
      </c>
      <c r="E684">
        <v>6</v>
      </c>
      <c r="F684">
        <v>1</v>
      </c>
      <c r="G684">
        <v>4</v>
      </c>
      <c r="H684">
        <v>240</v>
      </c>
      <c r="I684">
        <v>2</v>
      </c>
      <c r="J684">
        <v>91</v>
      </c>
      <c r="K684">
        <f t="shared" si="70"/>
        <v>3.6</v>
      </c>
      <c r="L684">
        <f t="shared" si="71"/>
        <v>36</v>
      </c>
      <c r="M684">
        <f t="shared" si="72"/>
        <v>60</v>
      </c>
      <c r="N684">
        <f t="shared" si="73"/>
        <v>40</v>
      </c>
      <c r="O684">
        <f t="shared" si="74"/>
        <v>44</v>
      </c>
      <c r="P684" t="str">
        <f t="shared" si="75"/>
        <v>Placement Ready</v>
      </c>
      <c r="Q684" t="str">
        <f t="shared" si="76"/>
        <v>Medium</v>
      </c>
    </row>
    <row r="685" spans="1:17" x14ac:dyDescent="0.3">
      <c r="A685">
        <v>1684</v>
      </c>
      <c r="B685">
        <v>2</v>
      </c>
      <c r="C685">
        <v>8</v>
      </c>
      <c r="D685">
        <v>5</v>
      </c>
      <c r="E685">
        <v>7</v>
      </c>
      <c r="F685">
        <v>5</v>
      </c>
      <c r="G685">
        <v>5</v>
      </c>
      <c r="H685">
        <v>180</v>
      </c>
      <c r="I685">
        <v>4</v>
      </c>
      <c r="J685">
        <v>67</v>
      </c>
      <c r="K685">
        <f t="shared" si="70"/>
        <v>5.4</v>
      </c>
      <c r="L685">
        <f t="shared" si="71"/>
        <v>54</v>
      </c>
      <c r="M685">
        <f t="shared" si="72"/>
        <v>60</v>
      </c>
      <c r="N685">
        <f t="shared" si="73"/>
        <v>65</v>
      </c>
      <c r="O685">
        <f t="shared" si="74"/>
        <v>59</v>
      </c>
      <c r="P685" t="str">
        <f t="shared" si="75"/>
        <v>Needs Improvement</v>
      </c>
      <c r="Q685" t="str">
        <f t="shared" si="76"/>
        <v>Medium</v>
      </c>
    </row>
    <row r="686" spans="1:17" x14ac:dyDescent="0.3">
      <c r="A686">
        <v>1685</v>
      </c>
      <c r="B686">
        <v>10</v>
      </c>
      <c r="C686">
        <v>5</v>
      </c>
      <c r="D686">
        <v>2</v>
      </c>
      <c r="E686">
        <v>6</v>
      </c>
      <c r="F686">
        <v>7</v>
      </c>
      <c r="G686">
        <v>5</v>
      </c>
      <c r="H686">
        <v>266</v>
      </c>
      <c r="I686">
        <v>2</v>
      </c>
      <c r="J686">
        <v>88</v>
      </c>
      <c r="K686">
        <f t="shared" si="70"/>
        <v>6</v>
      </c>
      <c r="L686">
        <f t="shared" si="71"/>
        <v>60</v>
      </c>
      <c r="M686">
        <f t="shared" si="72"/>
        <v>80</v>
      </c>
      <c r="N686">
        <f t="shared" si="73"/>
        <v>45</v>
      </c>
      <c r="O686">
        <f t="shared" si="74"/>
        <v>62</v>
      </c>
      <c r="P686" t="str">
        <f t="shared" si="75"/>
        <v>Placement Ready</v>
      </c>
      <c r="Q686" t="str">
        <f t="shared" si="76"/>
        <v>Medium</v>
      </c>
    </row>
    <row r="687" spans="1:17" x14ac:dyDescent="0.3">
      <c r="A687">
        <v>1686</v>
      </c>
      <c r="B687">
        <v>10</v>
      </c>
      <c r="C687">
        <v>1</v>
      </c>
      <c r="D687">
        <v>3</v>
      </c>
      <c r="E687">
        <v>9</v>
      </c>
      <c r="F687">
        <v>8</v>
      </c>
      <c r="G687">
        <v>4</v>
      </c>
      <c r="H687">
        <v>434</v>
      </c>
      <c r="I687">
        <v>5</v>
      </c>
      <c r="J687">
        <v>72</v>
      </c>
      <c r="K687">
        <f t="shared" si="70"/>
        <v>6.2</v>
      </c>
      <c r="L687">
        <f t="shared" si="71"/>
        <v>62</v>
      </c>
      <c r="M687">
        <f t="shared" si="72"/>
        <v>100</v>
      </c>
      <c r="N687">
        <f t="shared" si="73"/>
        <v>70</v>
      </c>
      <c r="O687">
        <f t="shared" si="74"/>
        <v>76</v>
      </c>
      <c r="P687" t="str">
        <f t="shared" si="75"/>
        <v>Needs Improvement</v>
      </c>
      <c r="Q687" t="str">
        <f t="shared" si="76"/>
        <v>High</v>
      </c>
    </row>
    <row r="688" spans="1:17" x14ac:dyDescent="0.3">
      <c r="A688">
        <v>1687</v>
      </c>
      <c r="B688">
        <v>1</v>
      </c>
      <c r="C688">
        <v>10</v>
      </c>
      <c r="D688">
        <v>5</v>
      </c>
      <c r="E688">
        <v>5</v>
      </c>
      <c r="F688">
        <v>1</v>
      </c>
      <c r="G688">
        <v>2</v>
      </c>
      <c r="H688">
        <v>226</v>
      </c>
      <c r="I688">
        <v>3</v>
      </c>
      <c r="J688">
        <v>87</v>
      </c>
      <c r="K688">
        <f t="shared" si="70"/>
        <v>4.4000000000000004</v>
      </c>
      <c r="L688">
        <f t="shared" si="71"/>
        <v>44</v>
      </c>
      <c r="M688">
        <f t="shared" si="72"/>
        <v>60</v>
      </c>
      <c r="N688">
        <f t="shared" si="73"/>
        <v>40</v>
      </c>
      <c r="O688">
        <f t="shared" si="74"/>
        <v>48</v>
      </c>
      <c r="P688" t="str">
        <f t="shared" si="75"/>
        <v>Placement Ready</v>
      </c>
      <c r="Q688" t="str">
        <f t="shared" si="76"/>
        <v>Medium</v>
      </c>
    </row>
    <row r="689" spans="1:17" x14ac:dyDescent="0.3">
      <c r="A689">
        <v>1688</v>
      </c>
      <c r="B689">
        <v>6</v>
      </c>
      <c r="C689">
        <v>2</v>
      </c>
      <c r="D689">
        <v>10</v>
      </c>
      <c r="E689">
        <v>7</v>
      </c>
      <c r="F689">
        <v>4</v>
      </c>
      <c r="G689">
        <v>6</v>
      </c>
      <c r="H689">
        <v>56</v>
      </c>
      <c r="I689">
        <v>1</v>
      </c>
      <c r="J689">
        <v>83</v>
      </c>
      <c r="K689">
        <f t="shared" si="70"/>
        <v>5.8</v>
      </c>
      <c r="L689">
        <f t="shared" si="71"/>
        <v>58</v>
      </c>
      <c r="M689">
        <f t="shared" si="72"/>
        <v>40</v>
      </c>
      <c r="N689">
        <f t="shared" si="73"/>
        <v>40</v>
      </c>
      <c r="O689">
        <f t="shared" si="74"/>
        <v>47</v>
      </c>
      <c r="P689" t="str">
        <f t="shared" si="75"/>
        <v>Placement Ready</v>
      </c>
      <c r="Q689" t="str">
        <f t="shared" si="76"/>
        <v>Medium</v>
      </c>
    </row>
    <row r="690" spans="1:17" x14ac:dyDescent="0.3">
      <c r="A690">
        <v>1689</v>
      </c>
      <c r="B690">
        <v>10</v>
      </c>
      <c r="C690">
        <v>9</v>
      </c>
      <c r="D690">
        <v>10</v>
      </c>
      <c r="E690">
        <v>5</v>
      </c>
      <c r="F690">
        <v>4</v>
      </c>
      <c r="G690">
        <v>0</v>
      </c>
      <c r="H690">
        <v>124</v>
      </c>
      <c r="I690">
        <v>5</v>
      </c>
      <c r="J690">
        <v>66</v>
      </c>
      <c r="K690">
        <f t="shared" si="70"/>
        <v>7.6</v>
      </c>
      <c r="L690">
        <f t="shared" si="71"/>
        <v>76</v>
      </c>
      <c r="M690">
        <f t="shared" si="72"/>
        <v>40</v>
      </c>
      <c r="N690">
        <f t="shared" si="73"/>
        <v>50</v>
      </c>
      <c r="O690">
        <f t="shared" si="74"/>
        <v>57</v>
      </c>
      <c r="P690" t="str">
        <f t="shared" si="75"/>
        <v>Needs Improvement</v>
      </c>
      <c r="Q690" t="str">
        <f t="shared" si="76"/>
        <v>Medium</v>
      </c>
    </row>
    <row r="691" spans="1:17" x14ac:dyDescent="0.3">
      <c r="A691">
        <v>1690</v>
      </c>
      <c r="B691">
        <v>4</v>
      </c>
      <c r="C691">
        <v>8</v>
      </c>
      <c r="D691">
        <v>1</v>
      </c>
      <c r="E691">
        <v>7</v>
      </c>
      <c r="F691">
        <v>6</v>
      </c>
      <c r="G691">
        <v>0</v>
      </c>
      <c r="H691">
        <v>126</v>
      </c>
      <c r="I691">
        <v>0</v>
      </c>
      <c r="J691">
        <v>65</v>
      </c>
      <c r="K691">
        <f t="shared" si="70"/>
        <v>5.2</v>
      </c>
      <c r="L691">
        <f t="shared" si="71"/>
        <v>52</v>
      </c>
      <c r="M691">
        <f t="shared" si="72"/>
        <v>40</v>
      </c>
      <c r="N691">
        <f t="shared" si="73"/>
        <v>0</v>
      </c>
      <c r="O691">
        <f t="shared" si="74"/>
        <v>33</v>
      </c>
      <c r="P691" t="str">
        <f t="shared" si="75"/>
        <v>Needs Improvement</v>
      </c>
      <c r="Q691" t="str">
        <f t="shared" si="76"/>
        <v>Low</v>
      </c>
    </row>
    <row r="692" spans="1:17" x14ac:dyDescent="0.3">
      <c r="A692">
        <v>1691</v>
      </c>
      <c r="B692">
        <v>6</v>
      </c>
      <c r="C692">
        <v>4</v>
      </c>
      <c r="D692">
        <v>1</v>
      </c>
      <c r="E692">
        <v>3</v>
      </c>
      <c r="F692">
        <v>5</v>
      </c>
      <c r="G692">
        <v>7</v>
      </c>
      <c r="H692">
        <v>416</v>
      </c>
      <c r="I692">
        <v>0</v>
      </c>
      <c r="J692">
        <v>46</v>
      </c>
      <c r="K692">
        <f t="shared" si="70"/>
        <v>3.8</v>
      </c>
      <c r="L692">
        <f t="shared" si="71"/>
        <v>38</v>
      </c>
      <c r="M692">
        <f t="shared" si="72"/>
        <v>100</v>
      </c>
      <c r="N692">
        <f t="shared" si="73"/>
        <v>35</v>
      </c>
      <c r="O692">
        <f t="shared" si="74"/>
        <v>56</v>
      </c>
      <c r="P692" t="str">
        <f t="shared" si="75"/>
        <v>Not Ready</v>
      </c>
      <c r="Q692" t="str">
        <f t="shared" si="76"/>
        <v>Medium</v>
      </c>
    </row>
    <row r="693" spans="1:17" x14ac:dyDescent="0.3">
      <c r="A693">
        <v>1692</v>
      </c>
      <c r="B693">
        <v>9</v>
      </c>
      <c r="C693">
        <v>3</v>
      </c>
      <c r="D693">
        <v>7</v>
      </c>
      <c r="E693">
        <v>6</v>
      </c>
      <c r="F693">
        <v>4</v>
      </c>
      <c r="G693">
        <v>1</v>
      </c>
      <c r="H693">
        <v>392</v>
      </c>
      <c r="I693">
        <v>5</v>
      </c>
      <c r="J693">
        <v>54</v>
      </c>
      <c r="K693">
        <f t="shared" si="70"/>
        <v>5.8</v>
      </c>
      <c r="L693">
        <f t="shared" si="71"/>
        <v>58</v>
      </c>
      <c r="M693">
        <f t="shared" si="72"/>
        <v>80</v>
      </c>
      <c r="N693">
        <f t="shared" si="73"/>
        <v>55</v>
      </c>
      <c r="O693">
        <f t="shared" si="74"/>
        <v>64</v>
      </c>
      <c r="P693" t="str">
        <f t="shared" si="75"/>
        <v>Needs Improvement</v>
      </c>
      <c r="Q693" t="str">
        <f t="shared" si="76"/>
        <v>Medium</v>
      </c>
    </row>
    <row r="694" spans="1:17" x14ac:dyDescent="0.3">
      <c r="A694">
        <v>1693</v>
      </c>
      <c r="B694">
        <v>2</v>
      </c>
      <c r="C694">
        <v>2</v>
      </c>
      <c r="D694">
        <v>9</v>
      </c>
      <c r="E694">
        <v>4</v>
      </c>
      <c r="F694">
        <v>9</v>
      </c>
      <c r="G694">
        <v>5</v>
      </c>
      <c r="H694">
        <v>436</v>
      </c>
      <c r="I694">
        <v>5</v>
      </c>
      <c r="J694">
        <v>57</v>
      </c>
      <c r="K694">
        <f t="shared" si="70"/>
        <v>5.2</v>
      </c>
      <c r="L694">
        <f t="shared" si="71"/>
        <v>52</v>
      </c>
      <c r="M694">
        <f t="shared" si="72"/>
        <v>100</v>
      </c>
      <c r="N694">
        <f t="shared" si="73"/>
        <v>75</v>
      </c>
      <c r="O694">
        <f t="shared" si="74"/>
        <v>73</v>
      </c>
      <c r="P694" t="str">
        <f t="shared" si="75"/>
        <v>Needs Improvement</v>
      </c>
      <c r="Q694" t="str">
        <f t="shared" si="76"/>
        <v>High</v>
      </c>
    </row>
    <row r="695" spans="1:17" x14ac:dyDescent="0.3">
      <c r="A695">
        <v>1694</v>
      </c>
      <c r="B695">
        <v>7</v>
      </c>
      <c r="C695">
        <v>1</v>
      </c>
      <c r="D695">
        <v>1</v>
      </c>
      <c r="E695">
        <v>2</v>
      </c>
      <c r="F695">
        <v>3</v>
      </c>
      <c r="G695">
        <v>2</v>
      </c>
      <c r="H695">
        <v>245</v>
      </c>
      <c r="I695">
        <v>3</v>
      </c>
      <c r="J695">
        <v>82</v>
      </c>
      <c r="K695">
        <f t="shared" si="70"/>
        <v>2.8</v>
      </c>
      <c r="L695">
        <f t="shared" si="71"/>
        <v>28</v>
      </c>
      <c r="M695">
        <f t="shared" si="72"/>
        <v>60</v>
      </c>
      <c r="N695">
        <f t="shared" si="73"/>
        <v>40</v>
      </c>
      <c r="O695">
        <f t="shared" si="74"/>
        <v>41</v>
      </c>
      <c r="P695" t="str">
        <f t="shared" si="75"/>
        <v>Placement Ready</v>
      </c>
      <c r="Q695" t="str">
        <f t="shared" si="76"/>
        <v>Medium</v>
      </c>
    </row>
    <row r="696" spans="1:17" x14ac:dyDescent="0.3">
      <c r="A696">
        <v>1695</v>
      </c>
      <c r="B696">
        <v>1</v>
      </c>
      <c r="C696">
        <v>7</v>
      </c>
      <c r="D696">
        <v>4</v>
      </c>
      <c r="E696">
        <v>10</v>
      </c>
      <c r="F696">
        <v>2</v>
      </c>
      <c r="G696">
        <v>7</v>
      </c>
      <c r="H696">
        <v>375</v>
      </c>
      <c r="I696">
        <v>1</v>
      </c>
      <c r="J696">
        <v>53</v>
      </c>
      <c r="K696">
        <f t="shared" si="70"/>
        <v>4.8</v>
      </c>
      <c r="L696">
        <f t="shared" si="71"/>
        <v>48</v>
      </c>
      <c r="M696">
        <f t="shared" si="72"/>
        <v>80</v>
      </c>
      <c r="N696">
        <f t="shared" si="73"/>
        <v>45</v>
      </c>
      <c r="O696">
        <f t="shared" si="74"/>
        <v>57</v>
      </c>
      <c r="P696" t="str">
        <f t="shared" si="75"/>
        <v>Needs Improvement</v>
      </c>
      <c r="Q696" t="str">
        <f t="shared" si="76"/>
        <v>Medium</v>
      </c>
    </row>
    <row r="697" spans="1:17" x14ac:dyDescent="0.3">
      <c r="A697">
        <v>1696</v>
      </c>
      <c r="B697">
        <v>10</v>
      </c>
      <c r="C697">
        <v>7</v>
      </c>
      <c r="D697">
        <v>10</v>
      </c>
      <c r="E697">
        <v>5</v>
      </c>
      <c r="F697">
        <v>4</v>
      </c>
      <c r="G697">
        <v>1</v>
      </c>
      <c r="H697">
        <v>68</v>
      </c>
      <c r="I697">
        <v>2</v>
      </c>
      <c r="J697">
        <v>70</v>
      </c>
      <c r="K697">
        <f t="shared" si="70"/>
        <v>7.2</v>
      </c>
      <c r="L697">
        <f t="shared" si="71"/>
        <v>72</v>
      </c>
      <c r="M697">
        <f t="shared" si="72"/>
        <v>40</v>
      </c>
      <c r="N697">
        <f t="shared" si="73"/>
        <v>25</v>
      </c>
      <c r="O697">
        <f t="shared" si="74"/>
        <v>48</v>
      </c>
      <c r="P697" t="str">
        <f t="shared" si="75"/>
        <v>Needs Improvement</v>
      </c>
      <c r="Q697" t="str">
        <f t="shared" si="76"/>
        <v>Medium</v>
      </c>
    </row>
    <row r="698" spans="1:17" x14ac:dyDescent="0.3">
      <c r="A698">
        <v>1697</v>
      </c>
      <c r="B698">
        <v>7</v>
      </c>
      <c r="C698">
        <v>4</v>
      </c>
      <c r="D698">
        <v>1</v>
      </c>
      <c r="E698">
        <v>3</v>
      </c>
      <c r="F698">
        <v>10</v>
      </c>
      <c r="G698">
        <v>5</v>
      </c>
      <c r="H698">
        <v>413</v>
      </c>
      <c r="I698">
        <v>0</v>
      </c>
      <c r="J698">
        <v>87</v>
      </c>
      <c r="K698">
        <f t="shared" si="70"/>
        <v>5</v>
      </c>
      <c r="L698">
        <f t="shared" si="71"/>
        <v>50</v>
      </c>
      <c r="M698">
        <f t="shared" si="72"/>
        <v>100</v>
      </c>
      <c r="N698">
        <f t="shared" si="73"/>
        <v>25</v>
      </c>
      <c r="O698">
        <f t="shared" si="74"/>
        <v>58</v>
      </c>
      <c r="P698" t="str">
        <f t="shared" si="75"/>
        <v>Placement Ready</v>
      </c>
      <c r="Q698" t="str">
        <f t="shared" si="76"/>
        <v>Medium</v>
      </c>
    </row>
    <row r="699" spans="1:17" x14ac:dyDescent="0.3">
      <c r="A699">
        <v>1698</v>
      </c>
      <c r="B699">
        <v>1</v>
      </c>
      <c r="C699">
        <v>1</v>
      </c>
      <c r="D699">
        <v>1</v>
      </c>
      <c r="E699">
        <v>4</v>
      </c>
      <c r="F699">
        <v>2</v>
      </c>
      <c r="G699">
        <v>4</v>
      </c>
      <c r="H699">
        <v>418</v>
      </c>
      <c r="I699">
        <v>4</v>
      </c>
      <c r="J699">
        <v>54</v>
      </c>
      <c r="K699">
        <f t="shared" si="70"/>
        <v>1.8</v>
      </c>
      <c r="L699">
        <f t="shared" si="71"/>
        <v>18</v>
      </c>
      <c r="M699">
        <f t="shared" si="72"/>
        <v>100</v>
      </c>
      <c r="N699">
        <f t="shared" si="73"/>
        <v>60</v>
      </c>
      <c r="O699">
        <f t="shared" si="74"/>
        <v>55</v>
      </c>
      <c r="P699" t="str">
        <f t="shared" si="75"/>
        <v>Needs Improvement</v>
      </c>
      <c r="Q699" t="str">
        <f t="shared" si="76"/>
        <v>Medium</v>
      </c>
    </row>
    <row r="700" spans="1:17" x14ac:dyDescent="0.3">
      <c r="A700">
        <v>1699</v>
      </c>
      <c r="B700">
        <v>8</v>
      </c>
      <c r="C700">
        <v>5</v>
      </c>
      <c r="D700">
        <v>5</v>
      </c>
      <c r="E700">
        <v>2</v>
      </c>
      <c r="F700">
        <v>3</v>
      </c>
      <c r="G700">
        <v>5</v>
      </c>
      <c r="H700">
        <v>263</v>
      </c>
      <c r="I700">
        <v>0</v>
      </c>
      <c r="J700">
        <v>66</v>
      </c>
      <c r="K700">
        <f t="shared" si="70"/>
        <v>4.5999999999999996</v>
      </c>
      <c r="L700">
        <f t="shared" si="71"/>
        <v>46</v>
      </c>
      <c r="M700">
        <f t="shared" si="72"/>
        <v>80</v>
      </c>
      <c r="N700">
        <f t="shared" si="73"/>
        <v>25</v>
      </c>
      <c r="O700">
        <f t="shared" si="74"/>
        <v>50</v>
      </c>
      <c r="P700" t="str">
        <f t="shared" si="75"/>
        <v>Needs Improvement</v>
      </c>
      <c r="Q700" t="str">
        <f t="shared" si="76"/>
        <v>Medium</v>
      </c>
    </row>
    <row r="701" spans="1:17" x14ac:dyDescent="0.3">
      <c r="A701">
        <v>1700</v>
      </c>
      <c r="B701">
        <v>6</v>
      </c>
      <c r="C701">
        <v>9</v>
      </c>
      <c r="D701">
        <v>6</v>
      </c>
      <c r="E701">
        <v>5</v>
      </c>
      <c r="F701">
        <v>6</v>
      </c>
      <c r="G701">
        <v>2</v>
      </c>
      <c r="H701">
        <v>241</v>
      </c>
      <c r="I701">
        <v>3</v>
      </c>
      <c r="J701">
        <v>59</v>
      </c>
      <c r="K701">
        <f t="shared" si="70"/>
        <v>6.4</v>
      </c>
      <c r="L701">
        <f t="shared" si="71"/>
        <v>64</v>
      </c>
      <c r="M701">
        <f t="shared" si="72"/>
        <v>60</v>
      </c>
      <c r="N701">
        <f t="shared" si="73"/>
        <v>40</v>
      </c>
      <c r="O701">
        <f t="shared" si="74"/>
        <v>56</v>
      </c>
      <c r="P701" t="str">
        <f t="shared" si="75"/>
        <v>Needs Improvement</v>
      </c>
      <c r="Q701" t="str">
        <f t="shared" si="76"/>
        <v>Medium</v>
      </c>
    </row>
    <row r="702" spans="1:17" x14ac:dyDescent="0.3">
      <c r="A702">
        <v>1701</v>
      </c>
      <c r="B702">
        <v>8</v>
      </c>
      <c r="C702">
        <v>10</v>
      </c>
      <c r="D702">
        <v>3</v>
      </c>
      <c r="E702">
        <v>10</v>
      </c>
      <c r="F702">
        <v>6</v>
      </c>
      <c r="G702">
        <v>8</v>
      </c>
      <c r="H702">
        <v>470</v>
      </c>
      <c r="I702">
        <v>3</v>
      </c>
      <c r="J702">
        <v>48</v>
      </c>
      <c r="K702">
        <f t="shared" si="70"/>
        <v>7.4</v>
      </c>
      <c r="L702">
        <f t="shared" si="71"/>
        <v>74</v>
      </c>
      <c r="M702">
        <f t="shared" si="72"/>
        <v>100</v>
      </c>
      <c r="N702">
        <f t="shared" si="73"/>
        <v>70</v>
      </c>
      <c r="O702">
        <f t="shared" si="74"/>
        <v>81</v>
      </c>
      <c r="P702" t="str">
        <f t="shared" si="75"/>
        <v>Not Ready</v>
      </c>
      <c r="Q702" t="str">
        <f t="shared" si="76"/>
        <v>High</v>
      </c>
    </row>
    <row r="703" spans="1:17" x14ac:dyDescent="0.3">
      <c r="A703">
        <v>1702</v>
      </c>
      <c r="B703">
        <v>10</v>
      </c>
      <c r="C703">
        <v>3</v>
      </c>
      <c r="D703">
        <v>3</v>
      </c>
      <c r="E703">
        <v>6</v>
      </c>
      <c r="F703">
        <v>6</v>
      </c>
      <c r="G703">
        <v>8</v>
      </c>
      <c r="H703">
        <v>303</v>
      </c>
      <c r="I703">
        <v>0</v>
      </c>
      <c r="J703">
        <v>46</v>
      </c>
      <c r="K703">
        <f t="shared" si="70"/>
        <v>5.6</v>
      </c>
      <c r="L703">
        <f t="shared" si="71"/>
        <v>56</v>
      </c>
      <c r="M703">
        <f t="shared" si="72"/>
        <v>80</v>
      </c>
      <c r="N703">
        <f t="shared" si="73"/>
        <v>40</v>
      </c>
      <c r="O703">
        <f t="shared" si="74"/>
        <v>58</v>
      </c>
      <c r="P703" t="str">
        <f t="shared" si="75"/>
        <v>Not Ready</v>
      </c>
      <c r="Q703" t="str">
        <f t="shared" si="76"/>
        <v>Medium</v>
      </c>
    </row>
    <row r="704" spans="1:17" x14ac:dyDescent="0.3">
      <c r="A704">
        <v>1703</v>
      </c>
      <c r="B704">
        <v>7</v>
      </c>
      <c r="C704">
        <v>1</v>
      </c>
      <c r="D704">
        <v>10</v>
      </c>
      <c r="E704">
        <v>2</v>
      </c>
      <c r="F704">
        <v>2</v>
      </c>
      <c r="G704">
        <v>2</v>
      </c>
      <c r="H704">
        <v>433</v>
      </c>
      <c r="I704">
        <v>0</v>
      </c>
      <c r="J704">
        <v>78</v>
      </c>
      <c r="K704">
        <f t="shared" si="70"/>
        <v>4.4000000000000004</v>
      </c>
      <c r="L704">
        <f t="shared" si="71"/>
        <v>44</v>
      </c>
      <c r="M704">
        <f t="shared" si="72"/>
        <v>100</v>
      </c>
      <c r="N704">
        <f t="shared" si="73"/>
        <v>10</v>
      </c>
      <c r="O704">
        <f t="shared" si="74"/>
        <v>51</v>
      </c>
      <c r="P704" t="str">
        <f t="shared" si="75"/>
        <v>Placement Ready</v>
      </c>
      <c r="Q704" t="str">
        <f t="shared" si="76"/>
        <v>Medium</v>
      </c>
    </row>
    <row r="705" spans="1:17" x14ac:dyDescent="0.3">
      <c r="A705">
        <v>1704</v>
      </c>
      <c r="B705">
        <v>10</v>
      </c>
      <c r="C705">
        <v>4</v>
      </c>
      <c r="D705">
        <v>10</v>
      </c>
      <c r="E705">
        <v>9</v>
      </c>
      <c r="F705">
        <v>5</v>
      </c>
      <c r="G705">
        <v>5</v>
      </c>
      <c r="H705">
        <v>207</v>
      </c>
      <c r="I705">
        <v>5</v>
      </c>
      <c r="J705">
        <v>76</v>
      </c>
      <c r="K705">
        <f t="shared" si="70"/>
        <v>7.6</v>
      </c>
      <c r="L705">
        <f t="shared" si="71"/>
        <v>76</v>
      </c>
      <c r="M705">
        <f t="shared" si="72"/>
        <v>60</v>
      </c>
      <c r="N705">
        <f t="shared" si="73"/>
        <v>75</v>
      </c>
      <c r="O705">
        <f t="shared" si="74"/>
        <v>71</v>
      </c>
      <c r="P705" t="str">
        <f t="shared" si="75"/>
        <v>Placement Ready</v>
      </c>
      <c r="Q705" t="str">
        <f t="shared" si="76"/>
        <v>High</v>
      </c>
    </row>
    <row r="706" spans="1:17" x14ac:dyDescent="0.3">
      <c r="A706">
        <v>1705</v>
      </c>
      <c r="B706">
        <v>9</v>
      </c>
      <c r="C706">
        <v>3</v>
      </c>
      <c r="D706">
        <v>5</v>
      </c>
      <c r="E706">
        <v>3</v>
      </c>
      <c r="F706">
        <v>2</v>
      </c>
      <c r="G706">
        <v>7</v>
      </c>
      <c r="H706">
        <v>211</v>
      </c>
      <c r="I706">
        <v>5</v>
      </c>
      <c r="J706">
        <v>84</v>
      </c>
      <c r="K706">
        <f t="shared" si="70"/>
        <v>4.4000000000000004</v>
      </c>
      <c r="L706">
        <f t="shared" si="71"/>
        <v>44</v>
      </c>
      <c r="M706">
        <f t="shared" si="72"/>
        <v>60</v>
      </c>
      <c r="N706">
        <f t="shared" si="73"/>
        <v>85</v>
      </c>
      <c r="O706">
        <f t="shared" si="74"/>
        <v>61</v>
      </c>
      <c r="P706" t="str">
        <f t="shared" si="75"/>
        <v>Placement Ready</v>
      </c>
      <c r="Q706" t="str">
        <f t="shared" si="76"/>
        <v>Medium</v>
      </c>
    </row>
    <row r="707" spans="1:17" x14ac:dyDescent="0.3">
      <c r="A707">
        <v>1706</v>
      </c>
      <c r="B707">
        <v>3</v>
      </c>
      <c r="C707">
        <v>7</v>
      </c>
      <c r="D707">
        <v>6</v>
      </c>
      <c r="E707">
        <v>2</v>
      </c>
      <c r="F707">
        <v>4</v>
      </c>
      <c r="G707">
        <v>7</v>
      </c>
      <c r="H707">
        <v>228</v>
      </c>
      <c r="I707">
        <v>2</v>
      </c>
      <c r="J707">
        <v>79</v>
      </c>
      <c r="K707">
        <f t="shared" ref="K707:K770" si="77">AVERAGE(B707:F707)</f>
        <v>4.4000000000000004</v>
      </c>
      <c r="L707">
        <f t="shared" ref="L707:L770" si="78">K707*10</f>
        <v>44</v>
      </c>
      <c r="M707">
        <f t="shared" ref="M707:M770" si="79">IF(H707&gt;=400,100,IF(H707&gt;=250,80,IF(H707&gt;=150,60,40)))</f>
        <v>60</v>
      </c>
      <c r="N707">
        <f t="shared" ref="N707:N770" si="80">(G707*5)+(I707*10)</f>
        <v>55</v>
      </c>
      <c r="O707">
        <f t="shared" ref="O707:O770" si="81">ROUND((L707*0.4)+(M707*0.3)+(N707*0.3),0)</f>
        <v>52</v>
      </c>
      <c r="P707" t="str">
        <f t="shared" ref="P707:P770" si="82">IF(J707&gt;=75,"Placement Ready",IF(J707&gt;=50,"Needs Improvement","Not Ready"))</f>
        <v>Placement Ready</v>
      </c>
      <c r="Q707" t="str">
        <f t="shared" ref="Q707:Q770" si="83">IF(O707&lt;40,"Low",IF(O707&lt;=70,"Medium","High"))</f>
        <v>Medium</v>
      </c>
    </row>
    <row r="708" spans="1:17" x14ac:dyDescent="0.3">
      <c r="A708">
        <v>1707</v>
      </c>
      <c r="B708">
        <v>10</v>
      </c>
      <c r="C708">
        <v>6</v>
      </c>
      <c r="D708">
        <v>7</v>
      </c>
      <c r="E708">
        <v>5</v>
      </c>
      <c r="F708">
        <v>2</v>
      </c>
      <c r="G708">
        <v>4</v>
      </c>
      <c r="H708">
        <v>344</v>
      </c>
      <c r="I708">
        <v>3</v>
      </c>
      <c r="J708">
        <v>67</v>
      </c>
      <c r="K708">
        <f t="shared" si="77"/>
        <v>6</v>
      </c>
      <c r="L708">
        <f t="shared" si="78"/>
        <v>60</v>
      </c>
      <c r="M708">
        <f t="shared" si="79"/>
        <v>80</v>
      </c>
      <c r="N708">
        <f t="shared" si="80"/>
        <v>50</v>
      </c>
      <c r="O708">
        <f t="shared" si="81"/>
        <v>63</v>
      </c>
      <c r="P708" t="str">
        <f t="shared" si="82"/>
        <v>Needs Improvement</v>
      </c>
      <c r="Q708" t="str">
        <f t="shared" si="83"/>
        <v>Medium</v>
      </c>
    </row>
    <row r="709" spans="1:17" x14ac:dyDescent="0.3">
      <c r="A709">
        <v>1708</v>
      </c>
      <c r="B709">
        <v>2</v>
      </c>
      <c r="C709">
        <v>8</v>
      </c>
      <c r="D709">
        <v>2</v>
      </c>
      <c r="E709">
        <v>10</v>
      </c>
      <c r="F709">
        <v>6</v>
      </c>
      <c r="G709">
        <v>6</v>
      </c>
      <c r="H709">
        <v>488</v>
      </c>
      <c r="I709">
        <v>1</v>
      </c>
      <c r="J709">
        <v>70</v>
      </c>
      <c r="K709">
        <f t="shared" si="77"/>
        <v>5.6</v>
      </c>
      <c r="L709">
        <f t="shared" si="78"/>
        <v>56</v>
      </c>
      <c r="M709">
        <f t="shared" si="79"/>
        <v>100</v>
      </c>
      <c r="N709">
        <f t="shared" si="80"/>
        <v>40</v>
      </c>
      <c r="O709">
        <f t="shared" si="81"/>
        <v>64</v>
      </c>
      <c r="P709" t="str">
        <f t="shared" si="82"/>
        <v>Needs Improvement</v>
      </c>
      <c r="Q709" t="str">
        <f t="shared" si="83"/>
        <v>Medium</v>
      </c>
    </row>
    <row r="710" spans="1:17" x14ac:dyDescent="0.3">
      <c r="A710">
        <v>1709</v>
      </c>
      <c r="B710">
        <v>3</v>
      </c>
      <c r="C710">
        <v>4</v>
      </c>
      <c r="D710">
        <v>4</v>
      </c>
      <c r="E710">
        <v>1</v>
      </c>
      <c r="F710">
        <v>5</v>
      </c>
      <c r="G710">
        <v>6</v>
      </c>
      <c r="H710">
        <v>211</v>
      </c>
      <c r="I710">
        <v>1</v>
      </c>
      <c r="J710">
        <v>43</v>
      </c>
      <c r="K710">
        <f t="shared" si="77"/>
        <v>3.4</v>
      </c>
      <c r="L710">
        <f t="shared" si="78"/>
        <v>34</v>
      </c>
      <c r="M710">
        <f t="shared" si="79"/>
        <v>60</v>
      </c>
      <c r="N710">
        <f t="shared" si="80"/>
        <v>40</v>
      </c>
      <c r="O710">
        <f t="shared" si="81"/>
        <v>44</v>
      </c>
      <c r="P710" t="str">
        <f t="shared" si="82"/>
        <v>Not Ready</v>
      </c>
      <c r="Q710" t="str">
        <f t="shared" si="83"/>
        <v>Medium</v>
      </c>
    </row>
    <row r="711" spans="1:17" x14ac:dyDescent="0.3">
      <c r="A711">
        <v>1710</v>
      </c>
      <c r="B711">
        <v>2</v>
      </c>
      <c r="C711">
        <v>7</v>
      </c>
      <c r="D711">
        <v>10</v>
      </c>
      <c r="E711">
        <v>9</v>
      </c>
      <c r="F711">
        <v>10</v>
      </c>
      <c r="G711">
        <v>7</v>
      </c>
      <c r="H711">
        <v>329</v>
      </c>
      <c r="I711">
        <v>3</v>
      </c>
      <c r="J711">
        <v>70</v>
      </c>
      <c r="K711">
        <f t="shared" si="77"/>
        <v>7.6</v>
      </c>
      <c r="L711">
        <f t="shared" si="78"/>
        <v>76</v>
      </c>
      <c r="M711">
        <f t="shared" si="79"/>
        <v>80</v>
      </c>
      <c r="N711">
        <f t="shared" si="80"/>
        <v>65</v>
      </c>
      <c r="O711">
        <f t="shared" si="81"/>
        <v>74</v>
      </c>
      <c r="P711" t="str">
        <f t="shared" si="82"/>
        <v>Needs Improvement</v>
      </c>
      <c r="Q711" t="str">
        <f t="shared" si="83"/>
        <v>High</v>
      </c>
    </row>
    <row r="712" spans="1:17" x14ac:dyDescent="0.3">
      <c r="A712">
        <v>1711</v>
      </c>
      <c r="B712">
        <v>9</v>
      </c>
      <c r="C712">
        <v>7</v>
      </c>
      <c r="D712">
        <v>10</v>
      </c>
      <c r="E712">
        <v>10</v>
      </c>
      <c r="F712">
        <v>7</v>
      </c>
      <c r="G712">
        <v>8</v>
      </c>
      <c r="H712">
        <v>193</v>
      </c>
      <c r="I712">
        <v>3</v>
      </c>
      <c r="J712">
        <v>67</v>
      </c>
      <c r="K712">
        <f t="shared" si="77"/>
        <v>8.6</v>
      </c>
      <c r="L712">
        <f t="shared" si="78"/>
        <v>86</v>
      </c>
      <c r="M712">
        <f t="shared" si="79"/>
        <v>60</v>
      </c>
      <c r="N712">
        <f t="shared" si="80"/>
        <v>70</v>
      </c>
      <c r="O712">
        <f t="shared" si="81"/>
        <v>73</v>
      </c>
      <c r="P712" t="str">
        <f t="shared" si="82"/>
        <v>Needs Improvement</v>
      </c>
      <c r="Q712" t="str">
        <f t="shared" si="83"/>
        <v>High</v>
      </c>
    </row>
    <row r="713" spans="1:17" x14ac:dyDescent="0.3">
      <c r="A713">
        <v>1712</v>
      </c>
      <c r="B713">
        <v>1</v>
      </c>
      <c r="C713">
        <v>3</v>
      </c>
      <c r="D713">
        <v>3</v>
      </c>
      <c r="E713">
        <v>7</v>
      </c>
      <c r="F713">
        <v>2</v>
      </c>
      <c r="G713">
        <v>6</v>
      </c>
      <c r="H713">
        <v>307</v>
      </c>
      <c r="I713">
        <v>0</v>
      </c>
      <c r="J713">
        <v>49</v>
      </c>
      <c r="K713">
        <f t="shared" si="77"/>
        <v>3.2</v>
      </c>
      <c r="L713">
        <f t="shared" si="78"/>
        <v>32</v>
      </c>
      <c r="M713">
        <f t="shared" si="79"/>
        <v>80</v>
      </c>
      <c r="N713">
        <f t="shared" si="80"/>
        <v>30</v>
      </c>
      <c r="O713">
        <f t="shared" si="81"/>
        <v>46</v>
      </c>
      <c r="P713" t="str">
        <f t="shared" si="82"/>
        <v>Not Ready</v>
      </c>
      <c r="Q713" t="str">
        <f t="shared" si="83"/>
        <v>Medium</v>
      </c>
    </row>
    <row r="714" spans="1:17" x14ac:dyDescent="0.3">
      <c r="A714">
        <v>1713</v>
      </c>
      <c r="B714">
        <v>10</v>
      </c>
      <c r="C714">
        <v>1</v>
      </c>
      <c r="D714">
        <v>4</v>
      </c>
      <c r="E714">
        <v>4</v>
      </c>
      <c r="F714">
        <v>9</v>
      </c>
      <c r="G714">
        <v>8</v>
      </c>
      <c r="H714">
        <v>275</v>
      </c>
      <c r="I714">
        <v>5</v>
      </c>
      <c r="J714">
        <v>78</v>
      </c>
      <c r="K714">
        <f t="shared" si="77"/>
        <v>5.6</v>
      </c>
      <c r="L714">
        <f t="shared" si="78"/>
        <v>56</v>
      </c>
      <c r="M714">
        <f t="shared" si="79"/>
        <v>80</v>
      </c>
      <c r="N714">
        <f t="shared" si="80"/>
        <v>90</v>
      </c>
      <c r="O714">
        <f t="shared" si="81"/>
        <v>73</v>
      </c>
      <c r="P714" t="str">
        <f t="shared" si="82"/>
        <v>Placement Ready</v>
      </c>
      <c r="Q714" t="str">
        <f t="shared" si="83"/>
        <v>High</v>
      </c>
    </row>
    <row r="715" spans="1:17" x14ac:dyDescent="0.3">
      <c r="A715">
        <v>1714</v>
      </c>
      <c r="B715">
        <v>6</v>
      </c>
      <c r="C715">
        <v>8</v>
      </c>
      <c r="D715">
        <v>3</v>
      </c>
      <c r="E715">
        <v>6</v>
      </c>
      <c r="F715">
        <v>5</v>
      </c>
      <c r="G715">
        <v>1</v>
      </c>
      <c r="H715">
        <v>410</v>
      </c>
      <c r="I715">
        <v>5</v>
      </c>
      <c r="J715">
        <v>89</v>
      </c>
      <c r="K715">
        <f t="shared" si="77"/>
        <v>5.6</v>
      </c>
      <c r="L715">
        <f t="shared" si="78"/>
        <v>56</v>
      </c>
      <c r="M715">
        <f t="shared" si="79"/>
        <v>100</v>
      </c>
      <c r="N715">
        <f t="shared" si="80"/>
        <v>55</v>
      </c>
      <c r="O715">
        <f t="shared" si="81"/>
        <v>69</v>
      </c>
      <c r="P715" t="str">
        <f t="shared" si="82"/>
        <v>Placement Ready</v>
      </c>
      <c r="Q715" t="str">
        <f t="shared" si="83"/>
        <v>Medium</v>
      </c>
    </row>
    <row r="716" spans="1:17" x14ac:dyDescent="0.3">
      <c r="A716">
        <v>1715</v>
      </c>
      <c r="B716">
        <v>1</v>
      </c>
      <c r="C716">
        <v>1</v>
      </c>
      <c r="D716">
        <v>10</v>
      </c>
      <c r="E716">
        <v>4</v>
      </c>
      <c r="F716">
        <v>3</v>
      </c>
      <c r="G716">
        <v>4</v>
      </c>
      <c r="H716">
        <v>152</v>
      </c>
      <c r="I716">
        <v>2</v>
      </c>
      <c r="J716">
        <v>48</v>
      </c>
      <c r="K716">
        <f t="shared" si="77"/>
        <v>3.8</v>
      </c>
      <c r="L716">
        <f t="shared" si="78"/>
        <v>38</v>
      </c>
      <c r="M716">
        <f t="shared" si="79"/>
        <v>60</v>
      </c>
      <c r="N716">
        <f t="shared" si="80"/>
        <v>40</v>
      </c>
      <c r="O716">
        <f t="shared" si="81"/>
        <v>45</v>
      </c>
      <c r="P716" t="str">
        <f t="shared" si="82"/>
        <v>Not Ready</v>
      </c>
      <c r="Q716" t="str">
        <f t="shared" si="83"/>
        <v>Medium</v>
      </c>
    </row>
    <row r="717" spans="1:17" x14ac:dyDescent="0.3">
      <c r="A717">
        <v>1716</v>
      </c>
      <c r="B717">
        <v>4</v>
      </c>
      <c r="C717">
        <v>8</v>
      </c>
      <c r="D717">
        <v>4</v>
      </c>
      <c r="E717">
        <v>5</v>
      </c>
      <c r="F717">
        <v>10</v>
      </c>
      <c r="G717">
        <v>5</v>
      </c>
      <c r="H717">
        <v>389</v>
      </c>
      <c r="I717">
        <v>0</v>
      </c>
      <c r="J717">
        <v>41</v>
      </c>
      <c r="K717">
        <f t="shared" si="77"/>
        <v>6.2</v>
      </c>
      <c r="L717">
        <f t="shared" si="78"/>
        <v>62</v>
      </c>
      <c r="M717">
        <f t="shared" si="79"/>
        <v>80</v>
      </c>
      <c r="N717">
        <f t="shared" si="80"/>
        <v>25</v>
      </c>
      <c r="O717">
        <f t="shared" si="81"/>
        <v>56</v>
      </c>
      <c r="P717" t="str">
        <f t="shared" si="82"/>
        <v>Not Ready</v>
      </c>
      <c r="Q717" t="str">
        <f t="shared" si="83"/>
        <v>Medium</v>
      </c>
    </row>
    <row r="718" spans="1:17" x14ac:dyDescent="0.3">
      <c r="A718">
        <v>1717</v>
      </c>
      <c r="B718">
        <v>4</v>
      </c>
      <c r="C718">
        <v>2</v>
      </c>
      <c r="D718">
        <v>5</v>
      </c>
      <c r="E718">
        <v>7</v>
      </c>
      <c r="F718">
        <v>4</v>
      </c>
      <c r="G718">
        <v>3</v>
      </c>
      <c r="H718">
        <v>209</v>
      </c>
      <c r="I718">
        <v>3</v>
      </c>
      <c r="J718">
        <v>51</v>
      </c>
      <c r="K718">
        <f t="shared" si="77"/>
        <v>4.4000000000000004</v>
      </c>
      <c r="L718">
        <f t="shared" si="78"/>
        <v>44</v>
      </c>
      <c r="M718">
        <f t="shared" si="79"/>
        <v>60</v>
      </c>
      <c r="N718">
        <f t="shared" si="80"/>
        <v>45</v>
      </c>
      <c r="O718">
        <f t="shared" si="81"/>
        <v>49</v>
      </c>
      <c r="P718" t="str">
        <f t="shared" si="82"/>
        <v>Needs Improvement</v>
      </c>
      <c r="Q718" t="str">
        <f t="shared" si="83"/>
        <v>Medium</v>
      </c>
    </row>
    <row r="719" spans="1:17" x14ac:dyDescent="0.3">
      <c r="A719">
        <v>1718</v>
      </c>
      <c r="B719">
        <v>6</v>
      </c>
      <c r="C719">
        <v>1</v>
      </c>
      <c r="D719">
        <v>5</v>
      </c>
      <c r="E719">
        <v>6</v>
      </c>
      <c r="F719">
        <v>5</v>
      </c>
      <c r="G719">
        <v>5</v>
      </c>
      <c r="H719">
        <v>148</v>
      </c>
      <c r="I719">
        <v>2</v>
      </c>
      <c r="J719">
        <v>78</v>
      </c>
      <c r="K719">
        <f t="shared" si="77"/>
        <v>4.5999999999999996</v>
      </c>
      <c r="L719">
        <f t="shared" si="78"/>
        <v>46</v>
      </c>
      <c r="M719">
        <f t="shared" si="79"/>
        <v>40</v>
      </c>
      <c r="N719">
        <f t="shared" si="80"/>
        <v>45</v>
      </c>
      <c r="O719">
        <f t="shared" si="81"/>
        <v>44</v>
      </c>
      <c r="P719" t="str">
        <f t="shared" si="82"/>
        <v>Placement Ready</v>
      </c>
      <c r="Q719" t="str">
        <f t="shared" si="83"/>
        <v>Medium</v>
      </c>
    </row>
    <row r="720" spans="1:17" x14ac:dyDescent="0.3">
      <c r="A720">
        <v>1719</v>
      </c>
      <c r="B720">
        <v>6</v>
      </c>
      <c r="C720">
        <v>5</v>
      </c>
      <c r="D720">
        <v>1</v>
      </c>
      <c r="E720">
        <v>2</v>
      </c>
      <c r="F720">
        <v>9</v>
      </c>
      <c r="G720">
        <v>4</v>
      </c>
      <c r="H720">
        <v>251</v>
      </c>
      <c r="I720">
        <v>3</v>
      </c>
      <c r="J720">
        <v>85</v>
      </c>
      <c r="K720">
        <f t="shared" si="77"/>
        <v>4.5999999999999996</v>
      </c>
      <c r="L720">
        <f t="shared" si="78"/>
        <v>46</v>
      </c>
      <c r="M720">
        <f t="shared" si="79"/>
        <v>80</v>
      </c>
      <c r="N720">
        <f t="shared" si="80"/>
        <v>50</v>
      </c>
      <c r="O720">
        <f t="shared" si="81"/>
        <v>57</v>
      </c>
      <c r="P720" t="str">
        <f t="shared" si="82"/>
        <v>Placement Ready</v>
      </c>
      <c r="Q720" t="str">
        <f t="shared" si="83"/>
        <v>Medium</v>
      </c>
    </row>
    <row r="721" spans="1:17" x14ac:dyDescent="0.3">
      <c r="A721">
        <v>1720</v>
      </c>
      <c r="B721">
        <v>2</v>
      </c>
      <c r="C721">
        <v>5</v>
      </c>
      <c r="D721">
        <v>9</v>
      </c>
      <c r="E721">
        <v>2</v>
      </c>
      <c r="F721">
        <v>8</v>
      </c>
      <c r="G721">
        <v>6</v>
      </c>
      <c r="H721">
        <v>99</v>
      </c>
      <c r="I721">
        <v>5</v>
      </c>
      <c r="J721">
        <v>60</v>
      </c>
      <c r="K721">
        <f t="shared" si="77"/>
        <v>5.2</v>
      </c>
      <c r="L721">
        <f t="shared" si="78"/>
        <v>52</v>
      </c>
      <c r="M721">
        <f t="shared" si="79"/>
        <v>40</v>
      </c>
      <c r="N721">
        <f t="shared" si="80"/>
        <v>80</v>
      </c>
      <c r="O721">
        <f t="shared" si="81"/>
        <v>57</v>
      </c>
      <c r="P721" t="str">
        <f t="shared" si="82"/>
        <v>Needs Improvement</v>
      </c>
      <c r="Q721" t="str">
        <f t="shared" si="83"/>
        <v>Medium</v>
      </c>
    </row>
    <row r="722" spans="1:17" x14ac:dyDescent="0.3">
      <c r="A722">
        <v>1721</v>
      </c>
      <c r="B722">
        <v>9</v>
      </c>
      <c r="C722">
        <v>10</v>
      </c>
      <c r="D722">
        <v>4</v>
      </c>
      <c r="E722">
        <v>4</v>
      </c>
      <c r="F722">
        <v>5</v>
      </c>
      <c r="G722">
        <v>1</v>
      </c>
      <c r="H722">
        <v>380</v>
      </c>
      <c r="I722">
        <v>1</v>
      </c>
      <c r="J722">
        <v>58</v>
      </c>
      <c r="K722">
        <f t="shared" si="77"/>
        <v>6.4</v>
      </c>
      <c r="L722">
        <f t="shared" si="78"/>
        <v>64</v>
      </c>
      <c r="M722">
        <f t="shared" si="79"/>
        <v>80</v>
      </c>
      <c r="N722">
        <f t="shared" si="80"/>
        <v>15</v>
      </c>
      <c r="O722">
        <f t="shared" si="81"/>
        <v>54</v>
      </c>
      <c r="P722" t="str">
        <f t="shared" si="82"/>
        <v>Needs Improvement</v>
      </c>
      <c r="Q722" t="str">
        <f t="shared" si="83"/>
        <v>Medium</v>
      </c>
    </row>
    <row r="723" spans="1:17" x14ac:dyDescent="0.3">
      <c r="A723">
        <v>1722</v>
      </c>
      <c r="B723">
        <v>1</v>
      </c>
      <c r="C723">
        <v>9</v>
      </c>
      <c r="D723">
        <v>2</v>
      </c>
      <c r="E723">
        <v>3</v>
      </c>
      <c r="F723">
        <v>9</v>
      </c>
      <c r="G723">
        <v>5</v>
      </c>
      <c r="H723">
        <v>138</v>
      </c>
      <c r="I723">
        <v>3</v>
      </c>
      <c r="J723">
        <v>79</v>
      </c>
      <c r="K723">
        <f t="shared" si="77"/>
        <v>4.8</v>
      </c>
      <c r="L723">
        <f t="shared" si="78"/>
        <v>48</v>
      </c>
      <c r="M723">
        <f t="shared" si="79"/>
        <v>40</v>
      </c>
      <c r="N723">
        <f t="shared" si="80"/>
        <v>55</v>
      </c>
      <c r="O723">
        <f t="shared" si="81"/>
        <v>48</v>
      </c>
      <c r="P723" t="str">
        <f t="shared" si="82"/>
        <v>Placement Ready</v>
      </c>
      <c r="Q723" t="str">
        <f t="shared" si="83"/>
        <v>Medium</v>
      </c>
    </row>
    <row r="724" spans="1:17" x14ac:dyDescent="0.3">
      <c r="A724">
        <v>1723</v>
      </c>
      <c r="B724">
        <v>1</v>
      </c>
      <c r="C724">
        <v>10</v>
      </c>
      <c r="D724">
        <v>5</v>
      </c>
      <c r="E724">
        <v>7</v>
      </c>
      <c r="F724">
        <v>5</v>
      </c>
      <c r="G724">
        <v>8</v>
      </c>
      <c r="H724">
        <v>453</v>
      </c>
      <c r="I724">
        <v>5</v>
      </c>
      <c r="J724">
        <v>90</v>
      </c>
      <c r="K724">
        <f t="shared" si="77"/>
        <v>5.6</v>
      </c>
      <c r="L724">
        <f t="shared" si="78"/>
        <v>56</v>
      </c>
      <c r="M724">
        <f t="shared" si="79"/>
        <v>100</v>
      </c>
      <c r="N724">
        <f t="shared" si="80"/>
        <v>90</v>
      </c>
      <c r="O724">
        <f t="shared" si="81"/>
        <v>79</v>
      </c>
      <c r="P724" t="str">
        <f t="shared" si="82"/>
        <v>Placement Ready</v>
      </c>
      <c r="Q724" t="str">
        <f t="shared" si="83"/>
        <v>High</v>
      </c>
    </row>
    <row r="725" spans="1:17" x14ac:dyDescent="0.3">
      <c r="A725">
        <v>1724</v>
      </c>
      <c r="B725">
        <v>3</v>
      </c>
      <c r="C725">
        <v>1</v>
      </c>
      <c r="D725">
        <v>7</v>
      </c>
      <c r="E725">
        <v>1</v>
      </c>
      <c r="F725">
        <v>5</v>
      </c>
      <c r="G725">
        <v>3</v>
      </c>
      <c r="H725">
        <v>290</v>
      </c>
      <c r="I725">
        <v>4</v>
      </c>
      <c r="J725">
        <v>95</v>
      </c>
      <c r="K725">
        <f t="shared" si="77"/>
        <v>3.4</v>
      </c>
      <c r="L725">
        <f t="shared" si="78"/>
        <v>34</v>
      </c>
      <c r="M725">
        <f t="shared" si="79"/>
        <v>80</v>
      </c>
      <c r="N725">
        <f t="shared" si="80"/>
        <v>55</v>
      </c>
      <c r="O725">
        <f t="shared" si="81"/>
        <v>54</v>
      </c>
      <c r="P725" t="str">
        <f t="shared" si="82"/>
        <v>Placement Ready</v>
      </c>
      <c r="Q725" t="str">
        <f t="shared" si="83"/>
        <v>Medium</v>
      </c>
    </row>
    <row r="726" spans="1:17" x14ac:dyDescent="0.3">
      <c r="A726">
        <v>1725</v>
      </c>
      <c r="B726">
        <v>6</v>
      </c>
      <c r="C726">
        <v>3</v>
      </c>
      <c r="D726">
        <v>4</v>
      </c>
      <c r="E726">
        <v>1</v>
      </c>
      <c r="F726">
        <v>2</v>
      </c>
      <c r="G726">
        <v>6</v>
      </c>
      <c r="H726">
        <v>367</v>
      </c>
      <c r="I726">
        <v>3</v>
      </c>
      <c r="J726">
        <v>88</v>
      </c>
      <c r="K726">
        <f t="shared" si="77"/>
        <v>3.2</v>
      </c>
      <c r="L726">
        <f t="shared" si="78"/>
        <v>32</v>
      </c>
      <c r="M726">
        <f t="shared" si="79"/>
        <v>80</v>
      </c>
      <c r="N726">
        <f t="shared" si="80"/>
        <v>60</v>
      </c>
      <c r="O726">
        <f t="shared" si="81"/>
        <v>55</v>
      </c>
      <c r="P726" t="str">
        <f t="shared" si="82"/>
        <v>Placement Ready</v>
      </c>
      <c r="Q726" t="str">
        <f t="shared" si="83"/>
        <v>Medium</v>
      </c>
    </row>
    <row r="727" spans="1:17" x14ac:dyDescent="0.3">
      <c r="A727">
        <v>1726</v>
      </c>
      <c r="B727">
        <v>7</v>
      </c>
      <c r="C727">
        <v>5</v>
      </c>
      <c r="D727">
        <v>3</v>
      </c>
      <c r="E727">
        <v>1</v>
      </c>
      <c r="F727">
        <v>1</v>
      </c>
      <c r="G727">
        <v>4</v>
      </c>
      <c r="H727">
        <v>465</v>
      </c>
      <c r="I727">
        <v>3</v>
      </c>
      <c r="J727">
        <v>73</v>
      </c>
      <c r="K727">
        <f t="shared" si="77"/>
        <v>3.4</v>
      </c>
      <c r="L727">
        <f t="shared" si="78"/>
        <v>34</v>
      </c>
      <c r="M727">
        <f t="shared" si="79"/>
        <v>100</v>
      </c>
      <c r="N727">
        <f t="shared" si="80"/>
        <v>50</v>
      </c>
      <c r="O727">
        <f t="shared" si="81"/>
        <v>59</v>
      </c>
      <c r="P727" t="str">
        <f t="shared" si="82"/>
        <v>Needs Improvement</v>
      </c>
      <c r="Q727" t="str">
        <f t="shared" si="83"/>
        <v>Medium</v>
      </c>
    </row>
    <row r="728" spans="1:17" x14ac:dyDescent="0.3">
      <c r="A728">
        <v>1727</v>
      </c>
      <c r="B728">
        <v>7</v>
      </c>
      <c r="C728">
        <v>3</v>
      </c>
      <c r="D728">
        <v>6</v>
      </c>
      <c r="E728">
        <v>8</v>
      </c>
      <c r="F728">
        <v>6</v>
      </c>
      <c r="G728">
        <v>3</v>
      </c>
      <c r="H728">
        <v>499</v>
      </c>
      <c r="I728">
        <v>5</v>
      </c>
      <c r="J728">
        <v>81</v>
      </c>
      <c r="K728">
        <f t="shared" si="77"/>
        <v>6</v>
      </c>
      <c r="L728">
        <f t="shared" si="78"/>
        <v>60</v>
      </c>
      <c r="M728">
        <f t="shared" si="79"/>
        <v>100</v>
      </c>
      <c r="N728">
        <f t="shared" si="80"/>
        <v>65</v>
      </c>
      <c r="O728">
        <f t="shared" si="81"/>
        <v>74</v>
      </c>
      <c r="P728" t="str">
        <f t="shared" si="82"/>
        <v>Placement Ready</v>
      </c>
      <c r="Q728" t="str">
        <f t="shared" si="83"/>
        <v>High</v>
      </c>
    </row>
    <row r="729" spans="1:17" x14ac:dyDescent="0.3">
      <c r="A729">
        <v>1728</v>
      </c>
      <c r="B729">
        <v>4</v>
      </c>
      <c r="C729">
        <v>8</v>
      </c>
      <c r="D729">
        <v>4</v>
      </c>
      <c r="E729">
        <v>10</v>
      </c>
      <c r="F729">
        <v>8</v>
      </c>
      <c r="G729">
        <v>2</v>
      </c>
      <c r="H729">
        <v>186</v>
      </c>
      <c r="I729">
        <v>3</v>
      </c>
      <c r="J729">
        <v>60</v>
      </c>
      <c r="K729">
        <f t="shared" si="77"/>
        <v>6.8</v>
      </c>
      <c r="L729">
        <f t="shared" si="78"/>
        <v>68</v>
      </c>
      <c r="M729">
        <f t="shared" si="79"/>
        <v>60</v>
      </c>
      <c r="N729">
        <f t="shared" si="80"/>
        <v>40</v>
      </c>
      <c r="O729">
        <f t="shared" si="81"/>
        <v>57</v>
      </c>
      <c r="P729" t="str">
        <f t="shared" si="82"/>
        <v>Needs Improvement</v>
      </c>
      <c r="Q729" t="str">
        <f t="shared" si="83"/>
        <v>Medium</v>
      </c>
    </row>
    <row r="730" spans="1:17" x14ac:dyDescent="0.3">
      <c r="A730">
        <v>1729</v>
      </c>
      <c r="B730">
        <v>2</v>
      </c>
      <c r="C730">
        <v>1</v>
      </c>
      <c r="D730">
        <v>1</v>
      </c>
      <c r="E730">
        <v>4</v>
      </c>
      <c r="F730">
        <v>1</v>
      </c>
      <c r="G730">
        <v>8</v>
      </c>
      <c r="H730">
        <v>394</v>
      </c>
      <c r="I730">
        <v>5</v>
      </c>
      <c r="J730">
        <v>43</v>
      </c>
      <c r="K730">
        <f t="shared" si="77"/>
        <v>1.8</v>
      </c>
      <c r="L730">
        <f t="shared" si="78"/>
        <v>18</v>
      </c>
      <c r="M730">
        <f t="shared" si="79"/>
        <v>80</v>
      </c>
      <c r="N730">
        <f t="shared" si="80"/>
        <v>90</v>
      </c>
      <c r="O730">
        <f t="shared" si="81"/>
        <v>58</v>
      </c>
      <c r="P730" t="str">
        <f t="shared" si="82"/>
        <v>Not Ready</v>
      </c>
      <c r="Q730" t="str">
        <f t="shared" si="83"/>
        <v>Medium</v>
      </c>
    </row>
    <row r="731" spans="1:17" x14ac:dyDescent="0.3">
      <c r="A731">
        <v>1730</v>
      </c>
      <c r="B731">
        <v>7</v>
      </c>
      <c r="C731">
        <v>9</v>
      </c>
      <c r="D731">
        <v>6</v>
      </c>
      <c r="E731">
        <v>6</v>
      </c>
      <c r="F731">
        <v>8</v>
      </c>
      <c r="G731">
        <v>0</v>
      </c>
      <c r="H731">
        <v>136</v>
      </c>
      <c r="I731">
        <v>0</v>
      </c>
      <c r="J731">
        <v>59</v>
      </c>
      <c r="K731">
        <f t="shared" si="77"/>
        <v>7.2</v>
      </c>
      <c r="L731">
        <f t="shared" si="78"/>
        <v>72</v>
      </c>
      <c r="M731">
        <f t="shared" si="79"/>
        <v>40</v>
      </c>
      <c r="N731">
        <f t="shared" si="80"/>
        <v>0</v>
      </c>
      <c r="O731">
        <f t="shared" si="81"/>
        <v>41</v>
      </c>
      <c r="P731" t="str">
        <f t="shared" si="82"/>
        <v>Needs Improvement</v>
      </c>
      <c r="Q731" t="str">
        <f t="shared" si="83"/>
        <v>Medium</v>
      </c>
    </row>
    <row r="732" spans="1:17" x14ac:dyDescent="0.3">
      <c r="A732">
        <v>1731</v>
      </c>
      <c r="B732">
        <v>10</v>
      </c>
      <c r="C732">
        <v>10</v>
      </c>
      <c r="D732">
        <v>4</v>
      </c>
      <c r="E732">
        <v>4</v>
      </c>
      <c r="F732">
        <v>9</v>
      </c>
      <c r="G732">
        <v>1</v>
      </c>
      <c r="H732">
        <v>59</v>
      </c>
      <c r="I732">
        <v>5</v>
      </c>
      <c r="J732">
        <v>43</v>
      </c>
      <c r="K732">
        <f t="shared" si="77"/>
        <v>7.4</v>
      </c>
      <c r="L732">
        <f t="shared" si="78"/>
        <v>74</v>
      </c>
      <c r="M732">
        <f t="shared" si="79"/>
        <v>40</v>
      </c>
      <c r="N732">
        <f t="shared" si="80"/>
        <v>55</v>
      </c>
      <c r="O732">
        <f t="shared" si="81"/>
        <v>58</v>
      </c>
      <c r="P732" t="str">
        <f t="shared" si="82"/>
        <v>Not Ready</v>
      </c>
      <c r="Q732" t="str">
        <f t="shared" si="83"/>
        <v>Medium</v>
      </c>
    </row>
    <row r="733" spans="1:17" x14ac:dyDescent="0.3">
      <c r="A733">
        <v>1732</v>
      </c>
      <c r="B733">
        <v>6</v>
      </c>
      <c r="C733">
        <v>6</v>
      </c>
      <c r="D733">
        <v>2</v>
      </c>
      <c r="E733">
        <v>4</v>
      </c>
      <c r="F733">
        <v>7</v>
      </c>
      <c r="G733">
        <v>4</v>
      </c>
      <c r="H733">
        <v>250</v>
      </c>
      <c r="I733">
        <v>5</v>
      </c>
      <c r="J733">
        <v>46</v>
      </c>
      <c r="K733">
        <f t="shared" si="77"/>
        <v>5</v>
      </c>
      <c r="L733">
        <f t="shared" si="78"/>
        <v>50</v>
      </c>
      <c r="M733">
        <f t="shared" si="79"/>
        <v>80</v>
      </c>
      <c r="N733">
        <f t="shared" si="80"/>
        <v>70</v>
      </c>
      <c r="O733">
        <f t="shared" si="81"/>
        <v>65</v>
      </c>
      <c r="P733" t="str">
        <f t="shared" si="82"/>
        <v>Not Ready</v>
      </c>
      <c r="Q733" t="str">
        <f t="shared" si="83"/>
        <v>Medium</v>
      </c>
    </row>
    <row r="734" spans="1:17" x14ac:dyDescent="0.3">
      <c r="A734">
        <v>1733</v>
      </c>
      <c r="B734">
        <v>8</v>
      </c>
      <c r="C734">
        <v>3</v>
      </c>
      <c r="D734">
        <v>5</v>
      </c>
      <c r="E734">
        <v>3</v>
      </c>
      <c r="F734">
        <v>3</v>
      </c>
      <c r="G734">
        <v>8</v>
      </c>
      <c r="H734">
        <v>121</v>
      </c>
      <c r="I734">
        <v>5</v>
      </c>
      <c r="J734">
        <v>67</v>
      </c>
      <c r="K734">
        <f t="shared" si="77"/>
        <v>4.4000000000000004</v>
      </c>
      <c r="L734">
        <f t="shared" si="78"/>
        <v>44</v>
      </c>
      <c r="M734">
        <f t="shared" si="79"/>
        <v>40</v>
      </c>
      <c r="N734">
        <f t="shared" si="80"/>
        <v>90</v>
      </c>
      <c r="O734">
        <f t="shared" si="81"/>
        <v>57</v>
      </c>
      <c r="P734" t="str">
        <f t="shared" si="82"/>
        <v>Needs Improvement</v>
      </c>
      <c r="Q734" t="str">
        <f t="shared" si="83"/>
        <v>Medium</v>
      </c>
    </row>
    <row r="735" spans="1:17" x14ac:dyDescent="0.3">
      <c r="A735">
        <v>1734</v>
      </c>
      <c r="B735">
        <v>3</v>
      </c>
      <c r="C735">
        <v>9</v>
      </c>
      <c r="D735">
        <v>9</v>
      </c>
      <c r="E735">
        <v>5</v>
      </c>
      <c r="F735">
        <v>9</v>
      </c>
      <c r="G735">
        <v>5</v>
      </c>
      <c r="H735">
        <v>162</v>
      </c>
      <c r="I735">
        <v>1</v>
      </c>
      <c r="J735">
        <v>47</v>
      </c>
      <c r="K735">
        <f t="shared" si="77"/>
        <v>7</v>
      </c>
      <c r="L735">
        <f t="shared" si="78"/>
        <v>70</v>
      </c>
      <c r="M735">
        <f t="shared" si="79"/>
        <v>60</v>
      </c>
      <c r="N735">
        <f t="shared" si="80"/>
        <v>35</v>
      </c>
      <c r="O735">
        <f t="shared" si="81"/>
        <v>57</v>
      </c>
      <c r="P735" t="str">
        <f t="shared" si="82"/>
        <v>Not Ready</v>
      </c>
      <c r="Q735" t="str">
        <f t="shared" si="83"/>
        <v>Medium</v>
      </c>
    </row>
    <row r="736" spans="1:17" x14ac:dyDescent="0.3">
      <c r="A736">
        <v>1735</v>
      </c>
      <c r="B736">
        <v>7</v>
      </c>
      <c r="C736">
        <v>9</v>
      </c>
      <c r="D736">
        <v>2</v>
      </c>
      <c r="E736">
        <v>3</v>
      </c>
      <c r="F736">
        <v>4</v>
      </c>
      <c r="G736">
        <v>7</v>
      </c>
      <c r="H736">
        <v>418</v>
      </c>
      <c r="I736">
        <v>2</v>
      </c>
      <c r="J736">
        <v>73</v>
      </c>
      <c r="K736">
        <f t="shared" si="77"/>
        <v>5</v>
      </c>
      <c r="L736">
        <f t="shared" si="78"/>
        <v>50</v>
      </c>
      <c r="M736">
        <f t="shared" si="79"/>
        <v>100</v>
      </c>
      <c r="N736">
        <f t="shared" si="80"/>
        <v>55</v>
      </c>
      <c r="O736">
        <f t="shared" si="81"/>
        <v>67</v>
      </c>
      <c r="P736" t="str">
        <f t="shared" si="82"/>
        <v>Needs Improvement</v>
      </c>
      <c r="Q736" t="str">
        <f t="shared" si="83"/>
        <v>Medium</v>
      </c>
    </row>
    <row r="737" spans="1:17" x14ac:dyDescent="0.3">
      <c r="A737">
        <v>1736</v>
      </c>
      <c r="B737">
        <v>6</v>
      </c>
      <c r="C737">
        <v>8</v>
      </c>
      <c r="D737">
        <v>2</v>
      </c>
      <c r="E737">
        <v>6</v>
      </c>
      <c r="F737">
        <v>7</v>
      </c>
      <c r="G737">
        <v>8</v>
      </c>
      <c r="H737">
        <v>483</v>
      </c>
      <c r="I737">
        <v>5</v>
      </c>
      <c r="J737">
        <v>56</v>
      </c>
      <c r="K737">
        <f t="shared" si="77"/>
        <v>5.8</v>
      </c>
      <c r="L737">
        <f t="shared" si="78"/>
        <v>58</v>
      </c>
      <c r="M737">
        <f t="shared" si="79"/>
        <v>100</v>
      </c>
      <c r="N737">
        <f t="shared" si="80"/>
        <v>90</v>
      </c>
      <c r="O737">
        <f t="shared" si="81"/>
        <v>80</v>
      </c>
      <c r="P737" t="str">
        <f t="shared" si="82"/>
        <v>Needs Improvement</v>
      </c>
      <c r="Q737" t="str">
        <f t="shared" si="83"/>
        <v>High</v>
      </c>
    </row>
    <row r="738" spans="1:17" x14ac:dyDescent="0.3">
      <c r="A738">
        <v>1737</v>
      </c>
      <c r="B738">
        <v>10</v>
      </c>
      <c r="C738">
        <v>8</v>
      </c>
      <c r="D738">
        <v>7</v>
      </c>
      <c r="E738">
        <v>5</v>
      </c>
      <c r="F738">
        <v>5</v>
      </c>
      <c r="G738">
        <v>8</v>
      </c>
      <c r="H738">
        <v>390</v>
      </c>
      <c r="I738">
        <v>3</v>
      </c>
      <c r="J738">
        <v>41</v>
      </c>
      <c r="K738">
        <f t="shared" si="77"/>
        <v>7</v>
      </c>
      <c r="L738">
        <f t="shared" si="78"/>
        <v>70</v>
      </c>
      <c r="M738">
        <f t="shared" si="79"/>
        <v>80</v>
      </c>
      <c r="N738">
        <f t="shared" si="80"/>
        <v>70</v>
      </c>
      <c r="O738">
        <f t="shared" si="81"/>
        <v>73</v>
      </c>
      <c r="P738" t="str">
        <f t="shared" si="82"/>
        <v>Not Ready</v>
      </c>
      <c r="Q738" t="str">
        <f t="shared" si="83"/>
        <v>High</v>
      </c>
    </row>
    <row r="739" spans="1:17" x14ac:dyDescent="0.3">
      <c r="A739">
        <v>1738</v>
      </c>
      <c r="B739">
        <v>10</v>
      </c>
      <c r="C739">
        <v>9</v>
      </c>
      <c r="D739">
        <v>3</v>
      </c>
      <c r="E739">
        <v>2</v>
      </c>
      <c r="F739">
        <v>2</v>
      </c>
      <c r="G739">
        <v>6</v>
      </c>
      <c r="H739">
        <v>431</v>
      </c>
      <c r="I739">
        <v>1</v>
      </c>
      <c r="J739">
        <v>50</v>
      </c>
      <c r="K739">
        <f t="shared" si="77"/>
        <v>5.2</v>
      </c>
      <c r="L739">
        <f t="shared" si="78"/>
        <v>52</v>
      </c>
      <c r="M739">
        <f t="shared" si="79"/>
        <v>100</v>
      </c>
      <c r="N739">
        <f t="shared" si="80"/>
        <v>40</v>
      </c>
      <c r="O739">
        <f t="shared" si="81"/>
        <v>63</v>
      </c>
      <c r="P739" t="str">
        <f t="shared" si="82"/>
        <v>Needs Improvement</v>
      </c>
      <c r="Q739" t="str">
        <f t="shared" si="83"/>
        <v>Medium</v>
      </c>
    </row>
    <row r="740" spans="1:17" x14ac:dyDescent="0.3">
      <c r="A740">
        <v>1739</v>
      </c>
      <c r="B740">
        <v>8</v>
      </c>
      <c r="C740">
        <v>1</v>
      </c>
      <c r="D740">
        <v>2</v>
      </c>
      <c r="E740">
        <v>3</v>
      </c>
      <c r="F740">
        <v>10</v>
      </c>
      <c r="G740">
        <v>2</v>
      </c>
      <c r="H740">
        <v>233</v>
      </c>
      <c r="I740">
        <v>5</v>
      </c>
      <c r="J740">
        <v>75</v>
      </c>
      <c r="K740">
        <f t="shared" si="77"/>
        <v>4.8</v>
      </c>
      <c r="L740">
        <f t="shared" si="78"/>
        <v>48</v>
      </c>
      <c r="M740">
        <f t="shared" si="79"/>
        <v>60</v>
      </c>
      <c r="N740">
        <f t="shared" si="80"/>
        <v>60</v>
      </c>
      <c r="O740">
        <f t="shared" si="81"/>
        <v>55</v>
      </c>
      <c r="P740" t="str">
        <f t="shared" si="82"/>
        <v>Placement Ready</v>
      </c>
      <c r="Q740" t="str">
        <f t="shared" si="83"/>
        <v>Medium</v>
      </c>
    </row>
    <row r="741" spans="1:17" x14ac:dyDescent="0.3">
      <c r="A741">
        <v>1740</v>
      </c>
      <c r="B741">
        <v>1</v>
      </c>
      <c r="C741">
        <v>10</v>
      </c>
      <c r="D741">
        <v>7</v>
      </c>
      <c r="E741">
        <v>2</v>
      </c>
      <c r="F741">
        <v>1</v>
      </c>
      <c r="G741">
        <v>5</v>
      </c>
      <c r="H741">
        <v>90</v>
      </c>
      <c r="I741">
        <v>3</v>
      </c>
      <c r="J741">
        <v>54</v>
      </c>
      <c r="K741">
        <f t="shared" si="77"/>
        <v>4.2</v>
      </c>
      <c r="L741">
        <f t="shared" si="78"/>
        <v>42</v>
      </c>
      <c r="M741">
        <f t="shared" si="79"/>
        <v>40</v>
      </c>
      <c r="N741">
        <f t="shared" si="80"/>
        <v>55</v>
      </c>
      <c r="O741">
        <f t="shared" si="81"/>
        <v>45</v>
      </c>
      <c r="P741" t="str">
        <f t="shared" si="82"/>
        <v>Needs Improvement</v>
      </c>
      <c r="Q741" t="str">
        <f t="shared" si="83"/>
        <v>Medium</v>
      </c>
    </row>
    <row r="742" spans="1:17" x14ac:dyDescent="0.3">
      <c r="A742">
        <v>1741</v>
      </c>
      <c r="B742">
        <v>4</v>
      </c>
      <c r="C742">
        <v>10</v>
      </c>
      <c r="D742">
        <v>1</v>
      </c>
      <c r="E742">
        <v>3</v>
      </c>
      <c r="F742">
        <v>10</v>
      </c>
      <c r="G742">
        <v>0</v>
      </c>
      <c r="H742">
        <v>142</v>
      </c>
      <c r="I742">
        <v>5</v>
      </c>
      <c r="J742">
        <v>86</v>
      </c>
      <c r="K742">
        <f t="shared" si="77"/>
        <v>5.6</v>
      </c>
      <c r="L742">
        <f t="shared" si="78"/>
        <v>56</v>
      </c>
      <c r="M742">
        <f t="shared" si="79"/>
        <v>40</v>
      </c>
      <c r="N742">
        <f t="shared" si="80"/>
        <v>50</v>
      </c>
      <c r="O742">
        <f t="shared" si="81"/>
        <v>49</v>
      </c>
      <c r="P742" t="str">
        <f t="shared" si="82"/>
        <v>Placement Ready</v>
      </c>
      <c r="Q742" t="str">
        <f t="shared" si="83"/>
        <v>Medium</v>
      </c>
    </row>
    <row r="743" spans="1:17" x14ac:dyDescent="0.3">
      <c r="A743">
        <v>1742</v>
      </c>
      <c r="B743">
        <v>6</v>
      </c>
      <c r="C743">
        <v>10</v>
      </c>
      <c r="D743">
        <v>4</v>
      </c>
      <c r="E743">
        <v>8</v>
      </c>
      <c r="F743">
        <v>2</v>
      </c>
      <c r="G743">
        <v>7</v>
      </c>
      <c r="H743">
        <v>186</v>
      </c>
      <c r="I743">
        <v>3</v>
      </c>
      <c r="J743">
        <v>89</v>
      </c>
      <c r="K743">
        <f t="shared" si="77"/>
        <v>6</v>
      </c>
      <c r="L743">
        <f t="shared" si="78"/>
        <v>60</v>
      </c>
      <c r="M743">
        <f t="shared" si="79"/>
        <v>60</v>
      </c>
      <c r="N743">
        <f t="shared" si="80"/>
        <v>65</v>
      </c>
      <c r="O743">
        <f t="shared" si="81"/>
        <v>62</v>
      </c>
      <c r="P743" t="str">
        <f t="shared" si="82"/>
        <v>Placement Ready</v>
      </c>
      <c r="Q743" t="str">
        <f t="shared" si="83"/>
        <v>Medium</v>
      </c>
    </row>
    <row r="744" spans="1:17" x14ac:dyDescent="0.3">
      <c r="A744">
        <v>1743</v>
      </c>
      <c r="B744">
        <v>10</v>
      </c>
      <c r="C744">
        <v>5</v>
      </c>
      <c r="D744">
        <v>2</v>
      </c>
      <c r="E744">
        <v>3</v>
      </c>
      <c r="F744">
        <v>6</v>
      </c>
      <c r="G744">
        <v>0</v>
      </c>
      <c r="H744">
        <v>409</v>
      </c>
      <c r="I744">
        <v>4</v>
      </c>
      <c r="J744">
        <v>60</v>
      </c>
      <c r="K744">
        <f t="shared" si="77"/>
        <v>5.2</v>
      </c>
      <c r="L744">
        <f t="shared" si="78"/>
        <v>52</v>
      </c>
      <c r="M744">
        <f t="shared" si="79"/>
        <v>100</v>
      </c>
      <c r="N744">
        <f t="shared" si="80"/>
        <v>40</v>
      </c>
      <c r="O744">
        <f t="shared" si="81"/>
        <v>63</v>
      </c>
      <c r="P744" t="str">
        <f t="shared" si="82"/>
        <v>Needs Improvement</v>
      </c>
      <c r="Q744" t="str">
        <f t="shared" si="83"/>
        <v>Medium</v>
      </c>
    </row>
    <row r="745" spans="1:17" x14ac:dyDescent="0.3">
      <c r="A745">
        <v>1744</v>
      </c>
      <c r="B745">
        <v>3</v>
      </c>
      <c r="C745">
        <v>5</v>
      </c>
      <c r="D745">
        <v>5</v>
      </c>
      <c r="E745">
        <v>10</v>
      </c>
      <c r="F745">
        <v>7</v>
      </c>
      <c r="G745">
        <v>6</v>
      </c>
      <c r="H745">
        <v>355</v>
      </c>
      <c r="I745">
        <v>1</v>
      </c>
      <c r="J745">
        <v>60</v>
      </c>
      <c r="K745">
        <f t="shared" si="77"/>
        <v>6</v>
      </c>
      <c r="L745">
        <f t="shared" si="78"/>
        <v>60</v>
      </c>
      <c r="M745">
        <f t="shared" si="79"/>
        <v>80</v>
      </c>
      <c r="N745">
        <f t="shared" si="80"/>
        <v>40</v>
      </c>
      <c r="O745">
        <f t="shared" si="81"/>
        <v>60</v>
      </c>
      <c r="P745" t="str">
        <f t="shared" si="82"/>
        <v>Needs Improvement</v>
      </c>
      <c r="Q745" t="str">
        <f t="shared" si="83"/>
        <v>Medium</v>
      </c>
    </row>
    <row r="746" spans="1:17" x14ac:dyDescent="0.3">
      <c r="A746">
        <v>1745</v>
      </c>
      <c r="B746">
        <v>4</v>
      </c>
      <c r="C746">
        <v>6</v>
      </c>
      <c r="D746">
        <v>9</v>
      </c>
      <c r="E746">
        <v>9</v>
      </c>
      <c r="F746">
        <v>1</v>
      </c>
      <c r="G746">
        <v>1</v>
      </c>
      <c r="H746">
        <v>231</v>
      </c>
      <c r="I746">
        <v>2</v>
      </c>
      <c r="J746">
        <v>63</v>
      </c>
      <c r="K746">
        <f t="shared" si="77"/>
        <v>5.8</v>
      </c>
      <c r="L746">
        <f t="shared" si="78"/>
        <v>58</v>
      </c>
      <c r="M746">
        <f t="shared" si="79"/>
        <v>60</v>
      </c>
      <c r="N746">
        <f t="shared" si="80"/>
        <v>25</v>
      </c>
      <c r="O746">
        <f t="shared" si="81"/>
        <v>49</v>
      </c>
      <c r="P746" t="str">
        <f t="shared" si="82"/>
        <v>Needs Improvement</v>
      </c>
      <c r="Q746" t="str">
        <f t="shared" si="83"/>
        <v>Medium</v>
      </c>
    </row>
    <row r="747" spans="1:17" x14ac:dyDescent="0.3">
      <c r="A747">
        <v>1746</v>
      </c>
      <c r="B747">
        <v>7</v>
      </c>
      <c r="C747">
        <v>5</v>
      </c>
      <c r="D747">
        <v>3</v>
      </c>
      <c r="E747">
        <v>1</v>
      </c>
      <c r="F747">
        <v>3</v>
      </c>
      <c r="G747">
        <v>0</v>
      </c>
      <c r="H747">
        <v>278</v>
      </c>
      <c r="I747">
        <v>5</v>
      </c>
      <c r="J747">
        <v>50</v>
      </c>
      <c r="K747">
        <f t="shared" si="77"/>
        <v>3.8</v>
      </c>
      <c r="L747">
        <f t="shared" si="78"/>
        <v>38</v>
      </c>
      <c r="M747">
        <f t="shared" si="79"/>
        <v>80</v>
      </c>
      <c r="N747">
        <f t="shared" si="80"/>
        <v>50</v>
      </c>
      <c r="O747">
        <f t="shared" si="81"/>
        <v>54</v>
      </c>
      <c r="P747" t="str">
        <f t="shared" si="82"/>
        <v>Needs Improvement</v>
      </c>
      <c r="Q747" t="str">
        <f t="shared" si="83"/>
        <v>Medium</v>
      </c>
    </row>
    <row r="748" spans="1:17" x14ac:dyDescent="0.3">
      <c r="A748">
        <v>1747</v>
      </c>
      <c r="B748">
        <v>4</v>
      </c>
      <c r="C748">
        <v>2</v>
      </c>
      <c r="D748">
        <v>4</v>
      </c>
      <c r="E748">
        <v>6</v>
      </c>
      <c r="F748">
        <v>9</v>
      </c>
      <c r="G748">
        <v>5</v>
      </c>
      <c r="H748">
        <v>74</v>
      </c>
      <c r="I748">
        <v>5</v>
      </c>
      <c r="J748">
        <v>52</v>
      </c>
      <c r="K748">
        <f t="shared" si="77"/>
        <v>5</v>
      </c>
      <c r="L748">
        <f t="shared" si="78"/>
        <v>50</v>
      </c>
      <c r="M748">
        <f t="shared" si="79"/>
        <v>40</v>
      </c>
      <c r="N748">
        <f t="shared" si="80"/>
        <v>75</v>
      </c>
      <c r="O748">
        <f t="shared" si="81"/>
        <v>55</v>
      </c>
      <c r="P748" t="str">
        <f t="shared" si="82"/>
        <v>Needs Improvement</v>
      </c>
      <c r="Q748" t="str">
        <f t="shared" si="83"/>
        <v>Medium</v>
      </c>
    </row>
    <row r="749" spans="1:17" x14ac:dyDescent="0.3">
      <c r="A749">
        <v>1748</v>
      </c>
      <c r="B749">
        <v>1</v>
      </c>
      <c r="C749">
        <v>9</v>
      </c>
      <c r="D749">
        <v>10</v>
      </c>
      <c r="E749">
        <v>4</v>
      </c>
      <c r="F749">
        <v>4</v>
      </c>
      <c r="G749">
        <v>7</v>
      </c>
      <c r="H749">
        <v>448</v>
      </c>
      <c r="I749">
        <v>2</v>
      </c>
      <c r="J749">
        <v>85</v>
      </c>
      <c r="K749">
        <f t="shared" si="77"/>
        <v>5.6</v>
      </c>
      <c r="L749">
        <f t="shared" si="78"/>
        <v>56</v>
      </c>
      <c r="M749">
        <f t="shared" si="79"/>
        <v>100</v>
      </c>
      <c r="N749">
        <f t="shared" si="80"/>
        <v>55</v>
      </c>
      <c r="O749">
        <f t="shared" si="81"/>
        <v>69</v>
      </c>
      <c r="P749" t="str">
        <f t="shared" si="82"/>
        <v>Placement Ready</v>
      </c>
      <c r="Q749" t="str">
        <f t="shared" si="83"/>
        <v>Medium</v>
      </c>
    </row>
    <row r="750" spans="1:17" x14ac:dyDescent="0.3">
      <c r="A750">
        <v>1749</v>
      </c>
      <c r="B750">
        <v>1</v>
      </c>
      <c r="C750">
        <v>7</v>
      </c>
      <c r="D750">
        <v>4</v>
      </c>
      <c r="E750">
        <v>6</v>
      </c>
      <c r="F750">
        <v>10</v>
      </c>
      <c r="G750">
        <v>1</v>
      </c>
      <c r="H750">
        <v>273</v>
      </c>
      <c r="I750">
        <v>4</v>
      </c>
      <c r="J750">
        <v>88</v>
      </c>
      <c r="K750">
        <f t="shared" si="77"/>
        <v>5.6</v>
      </c>
      <c r="L750">
        <f t="shared" si="78"/>
        <v>56</v>
      </c>
      <c r="M750">
        <f t="shared" si="79"/>
        <v>80</v>
      </c>
      <c r="N750">
        <f t="shared" si="80"/>
        <v>45</v>
      </c>
      <c r="O750">
        <f t="shared" si="81"/>
        <v>60</v>
      </c>
      <c r="P750" t="str">
        <f t="shared" si="82"/>
        <v>Placement Ready</v>
      </c>
      <c r="Q750" t="str">
        <f t="shared" si="83"/>
        <v>Medium</v>
      </c>
    </row>
    <row r="751" spans="1:17" x14ac:dyDescent="0.3">
      <c r="A751">
        <v>1750</v>
      </c>
      <c r="B751">
        <v>9</v>
      </c>
      <c r="C751">
        <v>8</v>
      </c>
      <c r="D751">
        <v>7</v>
      </c>
      <c r="E751">
        <v>7</v>
      </c>
      <c r="F751">
        <v>2</v>
      </c>
      <c r="G751">
        <v>1</v>
      </c>
      <c r="H751">
        <v>64</v>
      </c>
      <c r="I751">
        <v>0</v>
      </c>
      <c r="J751">
        <v>82</v>
      </c>
      <c r="K751">
        <f t="shared" si="77"/>
        <v>6.6</v>
      </c>
      <c r="L751">
        <f t="shared" si="78"/>
        <v>66</v>
      </c>
      <c r="M751">
        <f t="shared" si="79"/>
        <v>40</v>
      </c>
      <c r="N751">
        <f t="shared" si="80"/>
        <v>5</v>
      </c>
      <c r="O751">
        <f t="shared" si="81"/>
        <v>40</v>
      </c>
      <c r="P751" t="str">
        <f t="shared" si="82"/>
        <v>Placement Ready</v>
      </c>
      <c r="Q751" t="str">
        <f t="shared" si="83"/>
        <v>Medium</v>
      </c>
    </row>
    <row r="752" spans="1:17" x14ac:dyDescent="0.3">
      <c r="A752">
        <v>1751</v>
      </c>
      <c r="B752">
        <v>2</v>
      </c>
      <c r="C752">
        <v>6</v>
      </c>
      <c r="D752">
        <v>4</v>
      </c>
      <c r="E752">
        <v>8</v>
      </c>
      <c r="F752">
        <v>6</v>
      </c>
      <c r="G752">
        <v>6</v>
      </c>
      <c r="H752">
        <v>227</v>
      </c>
      <c r="I752">
        <v>1</v>
      </c>
      <c r="J752">
        <v>40</v>
      </c>
      <c r="K752">
        <f t="shared" si="77"/>
        <v>5.2</v>
      </c>
      <c r="L752">
        <f t="shared" si="78"/>
        <v>52</v>
      </c>
      <c r="M752">
        <f t="shared" si="79"/>
        <v>60</v>
      </c>
      <c r="N752">
        <f t="shared" si="80"/>
        <v>40</v>
      </c>
      <c r="O752">
        <f t="shared" si="81"/>
        <v>51</v>
      </c>
      <c r="P752" t="str">
        <f t="shared" si="82"/>
        <v>Not Ready</v>
      </c>
      <c r="Q752" t="str">
        <f t="shared" si="83"/>
        <v>Medium</v>
      </c>
    </row>
    <row r="753" spans="1:17" x14ac:dyDescent="0.3">
      <c r="A753">
        <v>1752</v>
      </c>
      <c r="B753">
        <v>4</v>
      </c>
      <c r="C753">
        <v>9</v>
      </c>
      <c r="D753">
        <v>1</v>
      </c>
      <c r="E753">
        <v>5</v>
      </c>
      <c r="F753">
        <v>1</v>
      </c>
      <c r="G753">
        <v>4</v>
      </c>
      <c r="H753">
        <v>165</v>
      </c>
      <c r="I753">
        <v>2</v>
      </c>
      <c r="J753">
        <v>47</v>
      </c>
      <c r="K753">
        <f t="shared" si="77"/>
        <v>4</v>
      </c>
      <c r="L753">
        <f t="shared" si="78"/>
        <v>40</v>
      </c>
      <c r="M753">
        <f t="shared" si="79"/>
        <v>60</v>
      </c>
      <c r="N753">
        <f t="shared" si="80"/>
        <v>40</v>
      </c>
      <c r="O753">
        <f t="shared" si="81"/>
        <v>46</v>
      </c>
      <c r="P753" t="str">
        <f t="shared" si="82"/>
        <v>Not Ready</v>
      </c>
      <c r="Q753" t="str">
        <f t="shared" si="83"/>
        <v>Medium</v>
      </c>
    </row>
    <row r="754" spans="1:17" x14ac:dyDescent="0.3">
      <c r="A754">
        <v>1753</v>
      </c>
      <c r="B754">
        <v>8</v>
      </c>
      <c r="C754">
        <v>7</v>
      </c>
      <c r="D754">
        <v>3</v>
      </c>
      <c r="E754">
        <v>9</v>
      </c>
      <c r="F754">
        <v>6</v>
      </c>
      <c r="G754">
        <v>8</v>
      </c>
      <c r="H754">
        <v>249</v>
      </c>
      <c r="I754">
        <v>3</v>
      </c>
      <c r="J754">
        <v>91</v>
      </c>
      <c r="K754">
        <f t="shared" si="77"/>
        <v>6.6</v>
      </c>
      <c r="L754">
        <f t="shared" si="78"/>
        <v>66</v>
      </c>
      <c r="M754">
        <f t="shared" si="79"/>
        <v>60</v>
      </c>
      <c r="N754">
        <f t="shared" si="80"/>
        <v>70</v>
      </c>
      <c r="O754">
        <f t="shared" si="81"/>
        <v>65</v>
      </c>
      <c r="P754" t="str">
        <f t="shared" si="82"/>
        <v>Placement Ready</v>
      </c>
      <c r="Q754" t="str">
        <f t="shared" si="83"/>
        <v>Medium</v>
      </c>
    </row>
    <row r="755" spans="1:17" x14ac:dyDescent="0.3">
      <c r="A755">
        <v>1754</v>
      </c>
      <c r="B755">
        <v>9</v>
      </c>
      <c r="C755">
        <v>10</v>
      </c>
      <c r="D755">
        <v>9</v>
      </c>
      <c r="E755">
        <v>7</v>
      </c>
      <c r="F755">
        <v>7</v>
      </c>
      <c r="G755">
        <v>3</v>
      </c>
      <c r="H755">
        <v>352</v>
      </c>
      <c r="I755">
        <v>2</v>
      </c>
      <c r="J755">
        <v>93</v>
      </c>
      <c r="K755">
        <f t="shared" si="77"/>
        <v>8.4</v>
      </c>
      <c r="L755">
        <f t="shared" si="78"/>
        <v>84</v>
      </c>
      <c r="M755">
        <f t="shared" si="79"/>
        <v>80</v>
      </c>
      <c r="N755">
        <f t="shared" si="80"/>
        <v>35</v>
      </c>
      <c r="O755">
        <f t="shared" si="81"/>
        <v>68</v>
      </c>
      <c r="P755" t="str">
        <f t="shared" si="82"/>
        <v>Placement Ready</v>
      </c>
      <c r="Q755" t="str">
        <f t="shared" si="83"/>
        <v>Medium</v>
      </c>
    </row>
    <row r="756" spans="1:17" x14ac:dyDescent="0.3">
      <c r="A756">
        <v>1755</v>
      </c>
      <c r="B756">
        <v>8</v>
      </c>
      <c r="C756">
        <v>1</v>
      </c>
      <c r="D756">
        <v>3</v>
      </c>
      <c r="E756">
        <v>3</v>
      </c>
      <c r="F756">
        <v>5</v>
      </c>
      <c r="G756">
        <v>1</v>
      </c>
      <c r="H756">
        <v>178</v>
      </c>
      <c r="I756">
        <v>2</v>
      </c>
      <c r="J756">
        <v>53</v>
      </c>
      <c r="K756">
        <f t="shared" si="77"/>
        <v>4</v>
      </c>
      <c r="L756">
        <f t="shared" si="78"/>
        <v>40</v>
      </c>
      <c r="M756">
        <f t="shared" si="79"/>
        <v>60</v>
      </c>
      <c r="N756">
        <f t="shared" si="80"/>
        <v>25</v>
      </c>
      <c r="O756">
        <f t="shared" si="81"/>
        <v>42</v>
      </c>
      <c r="P756" t="str">
        <f t="shared" si="82"/>
        <v>Needs Improvement</v>
      </c>
      <c r="Q756" t="str">
        <f t="shared" si="83"/>
        <v>Medium</v>
      </c>
    </row>
    <row r="757" spans="1:17" x14ac:dyDescent="0.3">
      <c r="A757">
        <v>1756</v>
      </c>
      <c r="B757">
        <v>9</v>
      </c>
      <c r="C757">
        <v>6</v>
      </c>
      <c r="D757">
        <v>6</v>
      </c>
      <c r="E757">
        <v>3</v>
      </c>
      <c r="F757">
        <v>8</v>
      </c>
      <c r="G757">
        <v>5</v>
      </c>
      <c r="H757">
        <v>264</v>
      </c>
      <c r="I757">
        <v>3</v>
      </c>
      <c r="J757">
        <v>67</v>
      </c>
      <c r="K757">
        <f t="shared" si="77"/>
        <v>6.4</v>
      </c>
      <c r="L757">
        <f t="shared" si="78"/>
        <v>64</v>
      </c>
      <c r="M757">
        <f t="shared" si="79"/>
        <v>80</v>
      </c>
      <c r="N757">
        <f t="shared" si="80"/>
        <v>55</v>
      </c>
      <c r="O757">
        <f t="shared" si="81"/>
        <v>66</v>
      </c>
      <c r="P757" t="str">
        <f t="shared" si="82"/>
        <v>Needs Improvement</v>
      </c>
      <c r="Q757" t="str">
        <f t="shared" si="83"/>
        <v>Medium</v>
      </c>
    </row>
    <row r="758" spans="1:17" x14ac:dyDescent="0.3">
      <c r="A758">
        <v>1757</v>
      </c>
      <c r="B758">
        <v>9</v>
      </c>
      <c r="C758">
        <v>10</v>
      </c>
      <c r="D758">
        <v>9</v>
      </c>
      <c r="E758">
        <v>2</v>
      </c>
      <c r="F758">
        <v>9</v>
      </c>
      <c r="G758">
        <v>6</v>
      </c>
      <c r="H758">
        <v>205</v>
      </c>
      <c r="I758">
        <v>4</v>
      </c>
      <c r="J758">
        <v>59</v>
      </c>
      <c r="K758">
        <f t="shared" si="77"/>
        <v>7.8</v>
      </c>
      <c r="L758">
        <f t="shared" si="78"/>
        <v>78</v>
      </c>
      <c r="M758">
        <f t="shared" si="79"/>
        <v>60</v>
      </c>
      <c r="N758">
        <f t="shared" si="80"/>
        <v>70</v>
      </c>
      <c r="O758">
        <f t="shared" si="81"/>
        <v>70</v>
      </c>
      <c r="P758" t="str">
        <f t="shared" si="82"/>
        <v>Needs Improvement</v>
      </c>
      <c r="Q758" t="str">
        <f t="shared" si="83"/>
        <v>Medium</v>
      </c>
    </row>
    <row r="759" spans="1:17" x14ac:dyDescent="0.3">
      <c r="A759">
        <v>1758</v>
      </c>
      <c r="B759">
        <v>4</v>
      </c>
      <c r="C759">
        <v>3</v>
      </c>
      <c r="D759">
        <v>2</v>
      </c>
      <c r="E759">
        <v>4</v>
      </c>
      <c r="F759">
        <v>6</v>
      </c>
      <c r="G759">
        <v>1</v>
      </c>
      <c r="H759">
        <v>466</v>
      </c>
      <c r="I759">
        <v>0</v>
      </c>
      <c r="J759">
        <v>84</v>
      </c>
      <c r="K759">
        <f t="shared" si="77"/>
        <v>3.8</v>
      </c>
      <c r="L759">
        <f t="shared" si="78"/>
        <v>38</v>
      </c>
      <c r="M759">
        <f t="shared" si="79"/>
        <v>100</v>
      </c>
      <c r="N759">
        <f t="shared" si="80"/>
        <v>5</v>
      </c>
      <c r="O759">
        <f t="shared" si="81"/>
        <v>47</v>
      </c>
      <c r="P759" t="str">
        <f t="shared" si="82"/>
        <v>Placement Ready</v>
      </c>
      <c r="Q759" t="str">
        <f t="shared" si="83"/>
        <v>Medium</v>
      </c>
    </row>
    <row r="760" spans="1:17" x14ac:dyDescent="0.3">
      <c r="A760">
        <v>1759</v>
      </c>
      <c r="B760">
        <v>8</v>
      </c>
      <c r="C760">
        <v>7</v>
      </c>
      <c r="D760">
        <v>6</v>
      </c>
      <c r="E760">
        <v>7</v>
      </c>
      <c r="F760">
        <v>2</v>
      </c>
      <c r="G760">
        <v>3</v>
      </c>
      <c r="H760">
        <v>458</v>
      </c>
      <c r="I760">
        <v>5</v>
      </c>
      <c r="J760">
        <v>62</v>
      </c>
      <c r="K760">
        <f t="shared" si="77"/>
        <v>6</v>
      </c>
      <c r="L760">
        <f t="shared" si="78"/>
        <v>60</v>
      </c>
      <c r="M760">
        <f t="shared" si="79"/>
        <v>100</v>
      </c>
      <c r="N760">
        <f t="shared" si="80"/>
        <v>65</v>
      </c>
      <c r="O760">
        <f t="shared" si="81"/>
        <v>74</v>
      </c>
      <c r="P760" t="str">
        <f t="shared" si="82"/>
        <v>Needs Improvement</v>
      </c>
      <c r="Q760" t="str">
        <f t="shared" si="83"/>
        <v>High</v>
      </c>
    </row>
    <row r="761" spans="1:17" x14ac:dyDescent="0.3">
      <c r="A761">
        <v>1760</v>
      </c>
      <c r="B761">
        <v>6</v>
      </c>
      <c r="C761">
        <v>5</v>
      </c>
      <c r="D761">
        <v>4</v>
      </c>
      <c r="E761">
        <v>7</v>
      </c>
      <c r="F761">
        <v>5</v>
      </c>
      <c r="G761">
        <v>1</v>
      </c>
      <c r="H761">
        <v>488</v>
      </c>
      <c r="I761">
        <v>5</v>
      </c>
      <c r="J761">
        <v>86</v>
      </c>
      <c r="K761">
        <f t="shared" si="77"/>
        <v>5.4</v>
      </c>
      <c r="L761">
        <f t="shared" si="78"/>
        <v>54</v>
      </c>
      <c r="M761">
        <f t="shared" si="79"/>
        <v>100</v>
      </c>
      <c r="N761">
        <f t="shared" si="80"/>
        <v>55</v>
      </c>
      <c r="O761">
        <f t="shared" si="81"/>
        <v>68</v>
      </c>
      <c r="P761" t="str">
        <f t="shared" si="82"/>
        <v>Placement Ready</v>
      </c>
      <c r="Q761" t="str">
        <f t="shared" si="83"/>
        <v>Medium</v>
      </c>
    </row>
    <row r="762" spans="1:17" x14ac:dyDescent="0.3">
      <c r="A762">
        <v>1761</v>
      </c>
      <c r="B762">
        <v>5</v>
      </c>
      <c r="C762">
        <v>8</v>
      </c>
      <c r="D762">
        <v>1</v>
      </c>
      <c r="E762">
        <v>3</v>
      </c>
      <c r="F762">
        <v>7</v>
      </c>
      <c r="G762">
        <v>2</v>
      </c>
      <c r="H762">
        <v>421</v>
      </c>
      <c r="I762">
        <v>5</v>
      </c>
      <c r="J762">
        <v>42</v>
      </c>
      <c r="K762">
        <f t="shared" si="77"/>
        <v>4.8</v>
      </c>
      <c r="L762">
        <f t="shared" si="78"/>
        <v>48</v>
      </c>
      <c r="M762">
        <f t="shared" si="79"/>
        <v>100</v>
      </c>
      <c r="N762">
        <f t="shared" si="80"/>
        <v>60</v>
      </c>
      <c r="O762">
        <f t="shared" si="81"/>
        <v>67</v>
      </c>
      <c r="P762" t="str">
        <f t="shared" si="82"/>
        <v>Not Ready</v>
      </c>
      <c r="Q762" t="str">
        <f t="shared" si="83"/>
        <v>Medium</v>
      </c>
    </row>
    <row r="763" spans="1:17" x14ac:dyDescent="0.3">
      <c r="A763">
        <v>1762</v>
      </c>
      <c r="B763">
        <v>7</v>
      </c>
      <c r="C763">
        <v>8</v>
      </c>
      <c r="D763">
        <v>2</v>
      </c>
      <c r="E763">
        <v>3</v>
      </c>
      <c r="F763">
        <v>9</v>
      </c>
      <c r="G763">
        <v>0</v>
      </c>
      <c r="H763">
        <v>459</v>
      </c>
      <c r="I763">
        <v>4</v>
      </c>
      <c r="J763">
        <v>95</v>
      </c>
      <c r="K763">
        <f t="shared" si="77"/>
        <v>5.8</v>
      </c>
      <c r="L763">
        <f t="shared" si="78"/>
        <v>58</v>
      </c>
      <c r="M763">
        <f t="shared" si="79"/>
        <v>100</v>
      </c>
      <c r="N763">
        <f t="shared" si="80"/>
        <v>40</v>
      </c>
      <c r="O763">
        <f t="shared" si="81"/>
        <v>65</v>
      </c>
      <c r="P763" t="str">
        <f t="shared" si="82"/>
        <v>Placement Ready</v>
      </c>
      <c r="Q763" t="str">
        <f t="shared" si="83"/>
        <v>Medium</v>
      </c>
    </row>
    <row r="764" spans="1:17" x14ac:dyDescent="0.3">
      <c r="A764">
        <v>1763</v>
      </c>
      <c r="B764">
        <v>10</v>
      </c>
      <c r="C764">
        <v>2</v>
      </c>
      <c r="D764">
        <v>1</v>
      </c>
      <c r="E764">
        <v>8</v>
      </c>
      <c r="F764">
        <v>8</v>
      </c>
      <c r="G764">
        <v>6</v>
      </c>
      <c r="H764">
        <v>337</v>
      </c>
      <c r="I764">
        <v>5</v>
      </c>
      <c r="J764">
        <v>88</v>
      </c>
      <c r="K764">
        <f t="shared" si="77"/>
        <v>5.8</v>
      </c>
      <c r="L764">
        <f t="shared" si="78"/>
        <v>58</v>
      </c>
      <c r="M764">
        <f t="shared" si="79"/>
        <v>80</v>
      </c>
      <c r="N764">
        <f t="shared" si="80"/>
        <v>80</v>
      </c>
      <c r="O764">
        <f t="shared" si="81"/>
        <v>71</v>
      </c>
      <c r="P764" t="str">
        <f t="shared" si="82"/>
        <v>Placement Ready</v>
      </c>
      <c r="Q764" t="str">
        <f t="shared" si="83"/>
        <v>High</v>
      </c>
    </row>
    <row r="765" spans="1:17" x14ac:dyDescent="0.3">
      <c r="A765">
        <v>1764</v>
      </c>
      <c r="B765">
        <v>1</v>
      </c>
      <c r="C765">
        <v>7</v>
      </c>
      <c r="D765">
        <v>3</v>
      </c>
      <c r="E765">
        <v>10</v>
      </c>
      <c r="F765">
        <v>5</v>
      </c>
      <c r="G765">
        <v>7</v>
      </c>
      <c r="H765">
        <v>474</v>
      </c>
      <c r="I765">
        <v>3</v>
      </c>
      <c r="J765">
        <v>82</v>
      </c>
      <c r="K765">
        <f t="shared" si="77"/>
        <v>5.2</v>
      </c>
      <c r="L765">
        <f t="shared" si="78"/>
        <v>52</v>
      </c>
      <c r="M765">
        <f t="shared" si="79"/>
        <v>100</v>
      </c>
      <c r="N765">
        <f t="shared" si="80"/>
        <v>65</v>
      </c>
      <c r="O765">
        <f t="shared" si="81"/>
        <v>70</v>
      </c>
      <c r="P765" t="str">
        <f t="shared" si="82"/>
        <v>Placement Ready</v>
      </c>
      <c r="Q765" t="str">
        <f t="shared" si="83"/>
        <v>Medium</v>
      </c>
    </row>
    <row r="766" spans="1:17" x14ac:dyDescent="0.3">
      <c r="A766">
        <v>1765</v>
      </c>
      <c r="B766">
        <v>7</v>
      </c>
      <c r="C766">
        <v>5</v>
      </c>
      <c r="D766">
        <v>7</v>
      </c>
      <c r="E766">
        <v>8</v>
      </c>
      <c r="F766">
        <v>2</v>
      </c>
      <c r="G766">
        <v>0</v>
      </c>
      <c r="H766">
        <v>439</v>
      </c>
      <c r="I766">
        <v>1</v>
      </c>
      <c r="J766">
        <v>45</v>
      </c>
      <c r="K766">
        <f t="shared" si="77"/>
        <v>5.8</v>
      </c>
      <c r="L766">
        <f t="shared" si="78"/>
        <v>58</v>
      </c>
      <c r="M766">
        <f t="shared" si="79"/>
        <v>100</v>
      </c>
      <c r="N766">
        <f t="shared" si="80"/>
        <v>10</v>
      </c>
      <c r="O766">
        <f t="shared" si="81"/>
        <v>56</v>
      </c>
      <c r="P766" t="str">
        <f t="shared" si="82"/>
        <v>Not Ready</v>
      </c>
      <c r="Q766" t="str">
        <f t="shared" si="83"/>
        <v>Medium</v>
      </c>
    </row>
    <row r="767" spans="1:17" x14ac:dyDescent="0.3">
      <c r="A767">
        <v>1766</v>
      </c>
      <c r="B767">
        <v>3</v>
      </c>
      <c r="C767">
        <v>4</v>
      </c>
      <c r="D767">
        <v>2</v>
      </c>
      <c r="E767">
        <v>2</v>
      </c>
      <c r="F767">
        <v>5</v>
      </c>
      <c r="G767">
        <v>2</v>
      </c>
      <c r="H767">
        <v>324</v>
      </c>
      <c r="I767">
        <v>0</v>
      </c>
      <c r="J767">
        <v>77</v>
      </c>
      <c r="K767">
        <f t="shared" si="77"/>
        <v>3.2</v>
      </c>
      <c r="L767">
        <f t="shared" si="78"/>
        <v>32</v>
      </c>
      <c r="M767">
        <f t="shared" si="79"/>
        <v>80</v>
      </c>
      <c r="N767">
        <f t="shared" si="80"/>
        <v>10</v>
      </c>
      <c r="O767">
        <f t="shared" si="81"/>
        <v>40</v>
      </c>
      <c r="P767" t="str">
        <f t="shared" si="82"/>
        <v>Placement Ready</v>
      </c>
      <c r="Q767" t="str">
        <f t="shared" si="83"/>
        <v>Medium</v>
      </c>
    </row>
    <row r="768" spans="1:17" x14ac:dyDescent="0.3">
      <c r="A768">
        <v>1767</v>
      </c>
      <c r="B768">
        <v>1</v>
      </c>
      <c r="C768">
        <v>6</v>
      </c>
      <c r="D768">
        <v>1</v>
      </c>
      <c r="E768">
        <v>1</v>
      </c>
      <c r="F768">
        <v>9</v>
      </c>
      <c r="G768">
        <v>0</v>
      </c>
      <c r="H768">
        <v>60</v>
      </c>
      <c r="I768">
        <v>4</v>
      </c>
      <c r="J768">
        <v>46</v>
      </c>
      <c r="K768">
        <f t="shared" si="77"/>
        <v>3.6</v>
      </c>
      <c r="L768">
        <f t="shared" si="78"/>
        <v>36</v>
      </c>
      <c r="M768">
        <f t="shared" si="79"/>
        <v>40</v>
      </c>
      <c r="N768">
        <f t="shared" si="80"/>
        <v>40</v>
      </c>
      <c r="O768">
        <f t="shared" si="81"/>
        <v>38</v>
      </c>
      <c r="P768" t="str">
        <f t="shared" si="82"/>
        <v>Not Ready</v>
      </c>
      <c r="Q768" t="str">
        <f t="shared" si="83"/>
        <v>Low</v>
      </c>
    </row>
    <row r="769" spans="1:17" x14ac:dyDescent="0.3">
      <c r="A769">
        <v>1768</v>
      </c>
      <c r="B769">
        <v>9</v>
      </c>
      <c r="C769">
        <v>2</v>
      </c>
      <c r="D769">
        <v>5</v>
      </c>
      <c r="E769">
        <v>5</v>
      </c>
      <c r="F769">
        <v>6</v>
      </c>
      <c r="G769">
        <v>0</v>
      </c>
      <c r="H769">
        <v>138</v>
      </c>
      <c r="I769">
        <v>2</v>
      </c>
      <c r="J769">
        <v>81</v>
      </c>
      <c r="K769">
        <f t="shared" si="77"/>
        <v>5.4</v>
      </c>
      <c r="L769">
        <f t="shared" si="78"/>
        <v>54</v>
      </c>
      <c r="M769">
        <f t="shared" si="79"/>
        <v>40</v>
      </c>
      <c r="N769">
        <f t="shared" si="80"/>
        <v>20</v>
      </c>
      <c r="O769">
        <f t="shared" si="81"/>
        <v>40</v>
      </c>
      <c r="P769" t="str">
        <f t="shared" si="82"/>
        <v>Placement Ready</v>
      </c>
      <c r="Q769" t="str">
        <f t="shared" si="83"/>
        <v>Medium</v>
      </c>
    </row>
    <row r="770" spans="1:17" x14ac:dyDescent="0.3">
      <c r="A770">
        <v>1769</v>
      </c>
      <c r="B770">
        <v>5</v>
      </c>
      <c r="C770">
        <v>7</v>
      </c>
      <c r="D770">
        <v>1</v>
      </c>
      <c r="E770">
        <v>3</v>
      </c>
      <c r="F770">
        <v>8</v>
      </c>
      <c r="G770">
        <v>8</v>
      </c>
      <c r="H770">
        <v>331</v>
      </c>
      <c r="I770">
        <v>1</v>
      </c>
      <c r="J770">
        <v>74</v>
      </c>
      <c r="K770">
        <f t="shared" si="77"/>
        <v>4.8</v>
      </c>
      <c r="L770">
        <f t="shared" si="78"/>
        <v>48</v>
      </c>
      <c r="M770">
        <f t="shared" si="79"/>
        <v>80</v>
      </c>
      <c r="N770">
        <f t="shared" si="80"/>
        <v>50</v>
      </c>
      <c r="O770">
        <f t="shared" si="81"/>
        <v>58</v>
      </c>
      <c r="P770" t="str">
        <f t="shared" si="82"/>
        <v>Needs Improvement</v>
      </c>
      <c r="Q770" t="str">
        <f t="shared" si="83"/>
        <v>Medium</v>
      </c>
    </row>
    <row r="771" spans="1:17" x14ac:dyDescent="0.3">
      <c r="A771">
        <v>1770</v>
      </c>
      <c r="B771">
        <v>6</v>
      </c>
      <c r="C771">
        <v>1</v>
      </c>
      <c r="D771">
        <v>9</v>
      </c>
      <c r="E771">
        <v>3</v>
      </c>
      <c r="F771">
        <v>5</v>
      </c>
      <c r="G771">
        <v>1</v>
      </c>
      <c r="H771">
        <v>391</v>
      </c>
      <c r="I771">
        <v>5</v>
      </c>
      <c r="J771">
        <v>64</v>
      </c>
      <c r="K771">
        <f t="shared" ref="K771:K834" si="84">AVERAGE(B771:F771)</f>
        <v>4.8</v>
      </c>
      <c r="L771">
        <f t="shared" ref="L771:L834" si="85">K771*10</f>
        <v>48</v>
      </c>
      <c r="M771">
        <f t="shared" ref="M771:M834" si="86">IF(H771&gt;=400,100,IF(H771&gt;=250,80,IF(H771&gt;=150,60,40)))</f>
        <v>80</v>
      </c>
      <c r="N771">
        <f t="shared" ref="N771:N834" si="87">(G771*5)+(I771*10)</f>
        <v>55</v>
      </c>
      <c r="O771">
        <f t="shared" ref="O771:O834" si="88">ROUND((L771*0.4)+(M771*0.3)+(N771*0.3),0)</f>
        <v>60</v>
      </c>
      <c r="P771" t="str">
        <f t="shared" ref="P771:P834" si="89">IF(J771&gt;=75,"Placement Ready",IF(J771&gt;=50,"Needs Improvement","Not Ready"))</f>
        <v>Needs Improvement</v>
      </c>
      <c r="Q771" t="str">
        <f t="shared" ref="Q771:Q834" si="90">IF(O771&lt;40,"Low",IF(O771&lt;=70,"Medium","High"))</f>
        <v>Medium</v>
      </c>
    </row>
    <row r="772" spans="1:17" x14ac:dyDescent="0.3">
      <c r="A772">
        <v>1771</v>
      </c>
      <c r="B772">
        <v>5</v>
      </c>
      <c r="C772">
        <v>9</v>
      </c>
      <c r="D772">
        <v>7</v>
      </c>
      <c r="E772">
        <v>10</v>
      </c>
      <c r="F772">
        <v>2</v>
      </c>
      <c r="G772">
        <v>5</v>
      </c>
      <c r="H772">
        <v>145</v>
      </c>
      <c r="I772">
        <v>4</v>
      </c>
      <c r="J772">
        <v>66</v>
      </c>
      <c r="K772">
        <f t="shared" si="84"/>
        <v>6.6</v>
      </c>
      <c r="L772">
        <f t="shared" si="85"/>
        <v>66</v>
      </c>
      <c r="M772">
        <f t="shared" si="86"/>
        <v>40</v>
      </c>
      <c r="N772">
        <f t="shared" si="87"/>
        <v>65</v>
      </c>
      <c r="O772">
        <f t="shared" si="88"/>
        <v>58</v>
      </c>
      <c r="P772" t="str">
        <f t="shared" si="89"/>
        <v>Needs Improvement</v>
      </c>
      <c r="Q772" t="str">
        <f t="shared" si="90"/>
        <v>Medium</v>
      </c>
    </row>
    <row r="773" spans="1:17" x14ac:dyDescent="0.3">
      <c r="A773">
        <v>1772</v>
      </c>
      <c r="B773">
        <v>10</v>
      </c>
      <c r="C773">
        <v>3</v>
      </c>
      <c r="D773">
        <v>3</v>
      </c>
      <c r="E773">
        <v>8</v>
      </c>
      <c r="F773">
        <v>4</v>
      </c>
      <c r="G773">
        <v>8</v>
      </c>
      <c r="H773">
        <v>435</v>
      </c>
      <c r="I773">
        <v>1</v>
      </c>
      <c r="J773">
        <v>82</v>
      </c>
      <c r="K773">
        <f t="shared" si="84"/>
        <v>5.6</v>
      </c>
      <c r="L773">
        <f t="shared" si="85"/>
        <v>56</v>
      </c>
      <c r="M773">
        <f t="shared" si="86"/>
        <v>100</v>
      </c>
      <c r="N773">
        <f t="shared" si="87"/>
        <v>50</v>
      </c>
      <c r="O773">
        <f t="shared" si="88"/>
        <v>67</v>
      </c>
      <c r="P773" t="str">
        <f t="shared" si="89"/>
        <v>Placement Ready</v>
      </c>
      <c r="Q773" t="str">
        <f t="shared" si="90"/>
        <v>Medium</v>
      </c>
    </row>
    <row r="774" spans="1:17" x14ac:dyDescent="0.3">
      <c r="A774">
        <v>1773</v>
      </c>
      <c r="B774">
        <v>2</v>
      </c>
      <c r="C774">
        <v>5</v>
      </c>
      <c r="D774">
        <v>1</v>
      </c>
      <c r="E774">
        <v>7</v>
      </c>
      <c r="F774">
        <v>2</v>
      </c>
      <c r="G774">
        <v>2</v>
      </c>
      <c r="H774">
        <v>118</v>
      </c>
      <c r="I774">
        <v>3</v>
      </c>
      <c r="J774">
        <v>46</v>
      </c>
      <c r="K774">
        <f t="shared" si="84"/>
        <v>3.4</v>
      </c>
      <c r="L774">
        <f t="shared" si="85"/>
        <v>34</v>
      </c>
      <c r="M774">
        <f t="shared" si="86"/>
        <v>40</v>
      </c>
      <c r="N774">
        <f t="shared" si="87"/>
        <v>40</v>
      </c>
      <c r="O774">
        <f t="shared" si="88"/>
        <v>38</v>
      </c>
      <c r="P774" t="str">
        <f t="shared" si="89"/>
        <v>Not Ready</v>
      </c>
      <c r="Q774" t="str">
        <f t="shared" si="90"/>
        <v>Low</v>
      </c>
    </row>
    <row r="775" spans="1:17" x14ac:dyDescent="0.3">
      <c r="A775">
        <v>1774</v>
      </c>
      <c r="B775">
        <v>2</v>
      </c>
      <c r="C775">
        <v>4</v>
      </c>
      <c r="D775">
        <v>9</v>
      </c>
      <c r="E775">
        <v>4</v>
      </c>
      <c r="F775">
        <v>1</v>
      </c>
      <c r="G775">
        <v>2</v>
      </c>
      <c r="H775">
        <v>84</v>
      </c>
      <c r="I775">
        <v>4</v>
      </c>
      <c r="J775">
        <v>55</v>
      </c>
      <c r="K775">
        <f t="shared" si="84"/>
        <v>4</v>
      </c>
      <c r="L775">
        <f t="shared" si="85"/>
        <v>40</v>
      </c>
      <c r="M775">
        <f t="shared" si="86"/>
        <v>40</v>
      </c>
      <c r="N775">
        <f t="shared" si="87"/>
        <v>50</v>
      </c>
      <c r="O775">
        <f t="shared" si="88"/>
        <v>43</v>
      </c>
      <c r="P775" t="str">
        <f t="shared" si="89"/>
        <v>Needs Improvement</v>
      </c>
      <c r="Q775" t="str">
        <f t="shared" si="90"/>
        <v>Medium</v>
      </c>
    </row>
    <row r="776" spans="1:17" x14ac:dyDescent="0.3">
      <c r="A776">
        <v>1775</v>
      </c>
      <c r="B776">
        <v>7</v>
      </c>
      <c r="C776">
        <v>8</v>
      </c>
      <c r="D776">
        <v>7</v>
      </c>
      <c r="E776">
        <v>1</v>
      </c>
      <c r="F776">
        <v>4</v>
      </c>
      <c r="G776">
        <v>2</v>
      </c>
      <c r="H776">
        <v>179</v>
      </c>
      <c r="I776">
        <v>1</v>
      </c>
      <c r="J776">
        <v>54</v>
      </c>
      <c r="K776">
        <f t="shared" si="84"/>
        <v>5.4</v>
      </c>
      <c r="L776">
        <f t="shared" si="85"/>
        <v>54</v>
      </c>
      <c r="M776">
        <f t="shared" si="86"/>
        <v>60</v>
      </c>
      <c r="N776">
        <f t="shared" si="87"/>
        <v>20</v>
      </c>
      <c r="O776">
        <f t="shared" si="88"/>
        <v>46</v>
      </c>
      <c r="P776" t="str">
        <f t="shared" si="89"/>
        <v>Needs Improvement</v>
      </c>
      <c r="Q776" t="str">
        <f t="shared" si="90"/>
        <v>Medium</v>
      </c>
    </row>
    <row r="777" spans="1:17" x14ac:dyDescent="0.3">
      <c r="A777">
        <v>1776</v>
      </c>
      <c r="B777">
        <v>6</v>
      </c>
      <c r="C777">
        <v>10</v>
      </c>
      <c r="D777">
        <v>8</v>
      </c>
      <c r="E777">
        <v>5</v>
      </c>
      <c r="F777">
        <v>4</v>
      </c>
      <c r="G777">
        <v>5</v>
      </c>
      <c r="H777">
        <v>327</v>
      </c>
      <c r="I777">
        <v>1</v>
      </c>
      <c r="J777">
        <v>68</v>
      </c>
      <c r="K777">
        <f t="shared" si="84"/>
        <v>6.6</v>
      </c>
      <c r="L777">
        <f t="shared" si="85"/>
        <v>66</v>
      </c>
      <c r="M777">
        <f t="shared" si="86"/>
        <v>80</v>
      </c>
      <c r="N777">
        <f t="shared" si="87"/>
        <v>35</v>
      </c>
      <c r="O777">
        <f t="shared" si="88"/>
        <v>61</v>
      </c>
      <c r="P777" t="str">
        <f t="shared" si="89"/>
        <v>Needs Improvement</v>
      </c>
      <c r="Q777" t="str">
        <f t="shared" si="90"/>
        <v>Medium</v>
      </c>
    </row>
    <row r="778" spans="1:17" x14ac:dyDescent="0.3">
      <c r="A778">
        <v>1777</v>
      </c>
      <c r="B778">
        <v>1</v>
      </c>
      <c r="C778">
        <v>5</v>
      </c>
      <c r="D778">
        <v>4</v>
      </c>
      <c r="E778">
        <v>9</v>
      </c>
      <c r="F778">
        <v>2</v>
      </c>
      <c r="G778">
        <v>3</v>
      </c>
      <c r="H778">
        <v>402</v>
      </c>
      <c r="I778">
        <v>0</v>
      </c>
      <c r="J778">
        <v>56</v>
      </c>
      <c r="K778">
        <f t="shared" si="84"/>
        <v>4.2</v>
      </c>
      <c r="L778">
        <f t="shared" si="85"/>
        <v>42</v>
      </c>
      <c r="M778">
        <f t="shared" si="86"/>
        <v>100</v>
      </c>
      <c r="N778">
        <f t="shared" si="87"/>
        <v>15</v>
      </c>
      <c r="O778">
        <f t="shared" si="88"/>
        <v>51</v>
      </c>
      <c r="P778" t="str">
        <f t="shared" si="89"/>
        <v>Needs Improvement</v>
      </c>
      <c r="Q778" t="str">
        <f t="shared" si="90"/>
        <v>Medium</v>
      </c>
    </row>
    <row r="779" spans="1:17" x14ac:dyDescent="0.3">
      <c r="A779">
        <v>1778</v>
      </c>
      <c r="B779">
        <v>10</v>
      </c>
      <c r="C779">
        <v>1</v>
      </c>
      <c r="D779">
        <v>9</v>
      </c>
      <c r="E779">
        <v>7</v>
      </c>
      <c r="F779">
        <v>9</v>
      </c>
      <c r="G779">
        <v>0</v>
      </c>
      <c r="H779">
        <v>211</v>
      </c>
      <c r="I779">
        <v>1</v>
      </c>
      <c r="J779">
        <v>68</v>
      </c>
      <c r="K779">
        <f t="shared" si="84"/>
        <v>7.2</v>
      </c>
      <c r="L779">
        <f t="shared" si="85"/>
        <v>72</v>
      </c>
      <c r="M779">
        <f t="shared" si="86"/>
        <v>60</v>
      </c>
      <c r="N779">
        <f t="shared" si="87"/>
        <v>10</v>
      </c>
      <c r="O779">
        <f t="shared" si="88"/>
        <v>50</v>
      </c>
      <c r="P779" t="str">
        <f t="shared" si="89"/>
        <v>Needs Improvement</v>
      </c>
      <c r="Q779" t="str">
        <f t="shared" si="90"/>
        <v>Medium</v>
      </c>
    </row>
    <row r="780" spans="1:17" x14ac:dyDescent="0.3">
      <c r="A780">
        <v>1779</v>
      </c>
      <c r="B780">
        <v>4</v>
      </c>
      <c r="C780">
        <v>4</v>
      </c>
      <c r="D780">
        <v>5</v>
      </c>
      <c r="E780">
        <v>2</v>
      </c>
      <c r="F780">
        <v>6</v>
      </c>
      <c r="G780">
        <v>1</v>
      </c>
      <c r="H780">
        <v>199</v>
      </c>
      <c r="I780">
        <v>1</v>
      </c>
      <c r="J780">
        <v>45</v>
      </c>
      <c r="K780">
        <f t="shared" si="84"/>
        <v>4.2</v>
      </c>
      <c r="L780">
        <f t="shared" si="85"/>
        <v>42</v>
      </c>
      <c r="M780">
        <f t="shared" si="86"/>
        <v>60</v>
      </c>
      <c r="N780">
        <f t="shared" si="87"/>
        <v>15</v>
      </c>
      <c r="O780">
        <f t="shared" si="88"/>
        <v>39</v>
      </c>
      <c r="P780" t="str">
        <f t="shared" si="89"/>
        <v>Not Ready</v>
      </c>
      <c r="Q780" t="str">
        <f t="shared" si="90"/>
        <v>Low</v>
      </c>
    </row>
    <row r="781" spans="1:17" x14ac:dyDescent="0.3">
      <c r="A781">
        <v>1780</v>
      </c>
      <c r="B781">
        <v>2</v>
      </c>
      <c r="C781">
        <v>6</v>
      </c>
      <c r="D781">
        <v>3</v>
      </c>
      <c r="E781">
        <v>4</v>
      </c>
      <c r="F781">
        <v>7</v>
      </c>
      <c r="G781">
        <v>1</v>
      </c>
      <c r="H781">
        <v>406</v>
      </c>
      <c r="I781">
        <v>4</v>
      </c>
      <c r="J781">
        <v>75</v>
      </c>
      <c r="K781">
        <f t="shared" si="84"/>
        <v>4.4000000000000004</v>
      </c>
      <c r="L781">
        <f t="shared" si="85"/>
        <v>44</v>
      </c>
      <c r="M781">
        <f t="shared" si="86"/>
        <v>100</v>
      </c>
      <c r="N781">
        <f t="shared" si="87"/>
        <v>45</v>
      </c>
      <c r="O781">
        <f t="shared" si="88"/>
        <v>61</v>
      </c>
      <c r="P781" t="str">
        <f t="shared" si="89"/>
        <v>Placement Ready</v>
      </c>
      <c r="Q781" t="str">
        <f t="shared" si="90"/>
        <v>Medium</v>
      </c>
    </row>
    <row r="782" spans="1:17" x14ac:dyDescent="0.3">
      <c r="A782">
        <v>1781</v>
      </c>
      <c r="B782">
        <v>5</v>
      </c>
      <c r="C782">
        <v>3</v>
      </c>
      <c r="D782">
        <v>1</v>
      </c>
      <c r="E782">
        <v>5</v>
      </c>
      <c r="F782">
        <v>7</v>
      </c>
      <c r="G782">
        <v>4</v>
      </c>
      <c r="H782">
        <v>51</v>
      </c>
      <c r="I782">
        <v>0</v>
      </c>
      <c r="J782">
        <v>83</v>
      </c>
      <c r="K782">
        <f t="shared" si="84"/>
        <v>4.2</v>
      </c>
      <c r="L782">
        <f t="shared" si="85"/>
        <v>42</v>
      </c>
      <c r="M782">
        <f t="shared" si="86"/>
        <v>40</v>
      </c>
      <c r="N782">
        <f t="shared" si="87"/>
        <v>20</v>
      </c>
      <c r="O782">
        <f t="shared" si="88"/>
        <v>35</v>
      </c>
      <c r="P782" t="str">
        <f t="shared" si="89"/>
        <v>Placement Ready</v>
      </c>
      <c r="Q782" t="str">
        <f t="shared" si="90"/>
        <v>Low</v>
      </c>
    </row>
    <row r="783" spans="1:17" x14ac:dyDescent="0.3">
      <c r="A783">
        <v>1782</v>
      </c>
      <c r="B783">
        <v>2</v>
      </c>
      <c r="C783">
        <v>10</v>
      </c>
      <c r="D783">
        <v>10</v>
      </c>
      <c r="E783">
        <v>9</v>
      </c>
      <c r="F783">
        <v>3</v>
      </c>
      <c r="G783">
        <v>5</v>
      </c>
      <c r="H783">
        <v>151</v>
      </c>
      <c r="I783">
        <v>1</v>
      </c>
      <c r="J783">
        <v>61</v>
      </c>
      <c r="K783">
        <f t="shared" si="84"/>
        <v>6.8</v>
      </c>
      <c r="L783">
        <f t="shared" si="85"/>
        <v>68</v>
      </c>
      <c r="M783">
        <f t="shared" si="86"/>
        <v>60</v>
      </c>
      <c r="N783">
        <f t="shared" si="87"/>
        <v>35</v>
      </c>
      <c r="O783">
        <f t="shared" si="88"/>
        <v>56</v>
      </c>
      <c r="P783" t="str">
        <f t="shared" si="89"/>
        <v>Needs Improvement</v>
      </c>
      <c r="Q783" t="str">
        <f t="shared" si="90"/>
        <v>Medium</v>
      </c>
    </row>
    <row r="784" spans="1:17" x14ac:dyDescent="0.3">
      <c r="A784">
        <v>1783</v>
      </c>
      <c r="B784">
        <v>1</v>
      </c>
      <c r="C784">
        <v>9</v>
      </c>
      <c r="D784">
        <v>5</v>
      </c>
      <c r="E784">
        <v>9</v>
      </c>
      <c r="F784">
        <v>7</v>
      </c>
      <c r="G784">
        <v>6</v>
      </c>
      <c r="H784">
        <v>342</v>
      </c>
      <c r="I784">
        <v>0</v>
      </c>
      <c r="J784">
        <v>47</v>
      </c>
      <c r="K784">
        <f t="shared" si="84"/>
        <v>6.2</v>
      </c>
      <c r="L784">
        <f t="shared" si="85"/>
        <v>62</v>
      </c>
      <c r="M784">
        <f t="shared" si="86"/>
        <v>80</v>
      </c>
      <c r="N784">
        <f t="shared" si="87"/>
        <v>30</v>
      </c>
      <c r="O784">
        <f t="shared" si="88"/>
        <v>58</v>
      </c>
      <c r="P784" t="str">
        <f t="shared" si="89"/>
        <v>Not Ready</v>
      </c>
      <c r="Q784" t="str">
        <f t="shared" si="90"/>
        <v>Medium</v>
      </c>
    </row>
    <row r="785" spans="1:17" x14ac:dyDescent="0.3">
      <c r="A785">
        <v>1784</v>
      </c>
      <c r="B785">
        <v>9</v>
      </c>
      <c r="C785">
        <v>10</v>
      </c>
      <c r="D785">
        <v>6</v>
      </c>
      <c r="E785">
        <v>8</v>
      </c>
      <c r="F785">
        <v>8</v>
      </c>
      <c r="G785">
        <v>0</v>
      </c>
      <c r="H785">
        <v>308</v>
      </c>
      <c r="I785">
        <v>2</v>
      </c>
      <c r="J785">
        <v>81</v>
      </c>
      <c r="K785">
        <f t="shared" si="84"/>
        <v>8.1999999999999993</v>
      </c>
      <c r="L785">
        <f t="shared" si="85"/>
        <v>82</v>
      </c>
      <c r="M785">
        <f t="shared" si="86"/>
        <v>80</v>
      </c>
      <c r="N785">
        <f t="shared" si="87"/>
        <v>20</v>
      </c>
      <c r="O785">
        <f t="shared" si="88"/>
        <v>63</v>
      </c>
      <c r="P785" t="str">
        <f t="shared" si="89"/>
        <v>Placement Ready</v>
      </c>
      <c r="Q785" t="str">
        <f t="shared" si="90"/>
        <v>Medium</v>
      </c>
    </row>
    <row r="786" spans="1:17" x14ac:dyDescent="0.3">
      <c r="A786">
        <v>1785</v>
      </c>
      <c r="B786">
        <v>2</v>
      </c>
      <c r="C786">
        <v>8</v>
      </c>
      <c r="D786">
        <v>5</v>
      </c>
      <c r="E786">
        <v>5</v>
      </c>
      <c r="F786">
        <v>1</v>
      </c>
      <c r="G786">
        <v>4</v>
      </c>
      <c r="H786">
        <v>181</v>
      </c>
      <c r="I786">
        <v>0</v>
      </c>
      <c r="J786">
        <v>45</v>
      </c>
      <c r="K786">
        <f t="shared" si="84"/>
        <v>4.2</v>
      </c>
      <c r="L786">
        <f t="shared" si="85"/>
        <v>42</v>
      </c>
      <c r="M786">
        <f t="shared" si="86"/>
        <v>60</v>
      </c>
      <c r="N786">
        <f t="shared" si="87"/>
        <v>20</v>
      </c>
      <c r="O786">
        <f t="shared" si="88"/>
        <v>41</v>
      </c>
      <c r="P786" t="str">
        <f t="shared" si="89"/>
        <v>Not Ready</v>
      </c>
      <c r="Q786" t="str">
        <f t="shared" si="90"/>
        <v>Medium</v>
      </c>
    </row>
    <row r="787" spans="1:17" x14ac:dyDescent="0.3">
      <c r="A787">
        <v>1786</v>
      </c>
      <c r="B787">
        <v>6</v>
      </c>
      <c r="C787">
        <v>5</v>
      </c>
      <c r="D787">
        <v>1</v>
      </c>
      <c r="E787">
        <v>7</v>
      </c>
      <c r="F787">
        <v>4</v>
      </c>
      <c r="G787">
        <v>6</v>
      </c>
      <c r="H787">
        <v>99</v>
      </c>
      <c r="I787">
        <v>4</v>
      </c>
      <c r="J787">
        <v>72</v>
      </c>
      <c r="K787">
        <f t="shared" si="84"/>
        <v>4.5999999999999996</v>
      </c>
      <c r="L787">
        <f t="shared" si="85"/>
        <v>46</v>
      </c>
      <c r="M787">
        <f t="shared" si="86"/>
        <v>40</v>
      </c>
      <c r="N787">
        <f t="shared" si="87"/>
        <v>70</v>
      </c>
      <c r="O787">
        <f t="shared" si="88"/>
        <v>51</v>
      </c>
      <c r="P787" t="str">
        <f t="shared" si="89"/>
        <v>Needs Improvement</v>
      </c>
      <c r="Q787" t="str">
        <f t="shared" si="90"/>
        <v>Medium</v>
      </c>
    </row>
    <row r="788" spans="1:17" x14ac:dyDescent="0.3">
      <c r="A788">
        <v>1787</v>
      </c>
      <c r="B788">
        <v>10</v>
      </c>
      <c r="C788">
        <v>2</v>
      </c>
      <c r="D788">
        <v>8</v>
      </c>
      <c r="E788">
        <v>3</v>
      </c>
      <c r="F788">
        <v>2</v>
      </c>
      <c r="G788">
        <v>7</v>
      </c>
      <c r="H788">
        <v>499</v>
      </c>
      <c r="I788">
        <v>4</v>
      </c>
      <c r="J788">
        <v>55</v>
      </c>
      <c r="K788">
        <f t="shared" si="84"/>
        <v>5</v>
      </c>
      <c r="L788">
        <f t="shared" si="85"/>
        <v>50</v>
      </c>
      <c r="M788">
        <f t="shared" si="86"/>
        <v>100</v>
      </c>
      <c r="N788">
        <f t="shared" si="87"/>
        <v>75</v>
      </c>
      <c r="O788">
        <f t="shared" si="88"/>
        <v>73</v>
      </c>
      <c r="P788" t="str">
        <f t="shared" si="89"/>
        <v>Needs Improvement</v>
      </c>
      <c r="Q788" t="str">
        <f t="shared" si="90"/>
        <v>High</v>
      </c>
    </row>
    <row r="789" spans="1:17" x14ac:dyDescent="0.3">
      <c r="A789">
        <v>1788</v>
      </c>
      <c r="B789">
        <v>4</v>
      </c>
      <c r="C789">
        <v>6</v>
      </c>
      <c r="D789">
        <v>2</v>
      </c>
      <c r="E789">
        <v>10</v>
      </c>
      <c r="F789">
        <v>8</v>
      </c>
      <c r="G789">
        <v>0</v>
      </c>
      <c r="H789">
        <v>116</v>
      </c>
      <c r="I789">
        <v>0</v>
      </c>
      <c r="J789">
        <v>90</v>
      </c>
      <c r="K789">
        <f t="shared" si="84"/>
        <v>6</v>
      </c>
      <c r="L789">
        <f t="shared" si="85"/>
        <v>60</v>
      </c>
      <c r="M789">
        <f t="shared" si="86"/>
        <v>40</v>
      </c>
      <c r="N789">
        <f t="shared" si="87"/>
        <v>0</v>
      </c>
      <c r="O789">
        <f t="shared" si="88"/>
        <v>36</v>
      </c>
      <c r="P789" t="str">
        <f t="shared" si="89"/>
        <v>Placement Ready</v>
      </c>
      <c r="Q789" t="str">
        <f t="shared" si="90"/>
        <v>Low</v>
      </c>
    </row>
    <row r="790" spans="1:17" x14ac:dyDescent="0.3">
      <c r="A790">
        <v>1789</v>
      </c>
      <c r="B790">
        <v>3</v>
      </c>
      <c r="C790">
        <v>4</v>
      </c>
      <c r="D790">
        <v>10</v>
      </c>
      <c r="E790">
        <v>7</v>
      </c>
      <c r="F790">
        <v>8</v>
      </c>
      <c r="G790">
        <v>6</v>
      </c>
      <c r="H790">
        <v>173</v>
      </c>
      <c r="I790">
        <v>1</v>
      </c>
      <c r="J790">
        <v>58</v>
      </c>
      <c r="K790">
        <f t="shared" si="84"/>
        <v>6.4</v>
      </c>
      <c r="L790">
        <f t="shared" si="85"/>
        <v>64</v>
      </c>
      <c r="M790">
        <f t="shared" si="86"/>
        <v>60</v>
      </c>
      <c r="N790">
        <f t="shared" si="87"/>
        <v>40</v>
      </c>
      <c r="O790">
        <f t="shared" si="88"/>
        <v>56</v>
      </c>
      <c r="P790" t="str">
        <f t="shared" si="89"/>
        <v>Needs Improvement</v>
      </c>
      <c r="Q790" t="str">
        <f t="shared" si="90"/>
        <v>Medium</v>
      </c>
    </row>
    <row r="791" spans="1:17" x14ac:dyDescent="0.3">
      <c r="A791">
        <v>1790</v>
      </c>
      <c r="B791">
        <v>7</v>
      </c>
      <c r="C791">
        <v>8</v>
      </c>
      <c r="D791">
        <v>6</v>
      </c>
      <c r="E791">
        <v>3</v>
      </c>
      <c r="F791">
        <v>1</v>
      </c>
      <c r="G791">
        <v>2</v>
      </c>
      <c r="H791">
        <v>412</v>
      </c>
      <c r="I791">
        <v>2</v>
      </c>
      <c r="J791">
        <v>94</v>
      </c>
      <c r="K791">
        <f t="shared" si="84"/>
        <v>5</v>
      </c>
      <c r="L791">
        <f t="shared" si="85"/>
        <v>50</v>
      </c>
      <c r="M791">
        <f t="shared" si="86"/>
        <v>100</v>
      </c>
      <c r="N791">
        <f t="shared" si="87"/>
        <v>30</v>
      </c>
      <c r="O791">
        <f t="shared" si="88"/>
        <v>59</v>
      </c>
      <c r="P791" t="str">
        <f t="shared" si="89"/>
        <v>Placement Ready</v>
      </c>
      <c r="Q791" t="str">
        <f t="shared" si="90"/>
        <v>Medium</v>
      </c>
    </row>
    <row r="792" spans="1:17" x14ac:dyDescent="0.3">
      <c r="A792">
        <v>1791</v>
      </c>
      <c r="B792">
        <v>9</v>
      </c>
      <c r="C792">
        <v>10</v>
      </c>
      <c r="D792">
        <v>3</v>
      </c>
      <c r="E792">
        <v>3</v>
      </c>
      <c r="F792">
        <v>3</v>
      </c>
      <c r="G792">
        <v>6</v>
      </c>
      <c r="H792">
        <v>492</v>
      </c>
      <c r="I792">
        <v>0</v>
      </c>
      <c r="J792">
        <v>59</v>
      </c>
      <c r="K792">
        <f t="shared" si="84"/>
        <v>5.6</v>
      </c>
      <c r="L792">
        <f t="shared" si="85"/>
        <v>56</v>
      </c>
      <c r="M792">
        <f t="shared" si="86"/>
        <v>100</v>
      </c>
      <c r="N792">
        <f t="shared" si="87"/>
        <v>30</v>
      </c>
      <c r="O792">
        <f t="shared" si="88"/>
        <v>61</v>
      </c>
      <c r="P792" t="str">
        <f t="shared" si="89"/>
        <v>Needs Improvement</v>
      </c>
      <c r="Q792" t="str">
        <f t="shared" si="90"/>
        <v>Medium</v>
      </c>
    </row>
    <row r="793" spans="1:17" x14ac:dyDescent="0.3">
      <c r="A793">
        <v>1792</v>
      </c>
      <c r="B793">
        <v>2</v>
      </c>
      <c r="C793">
        <v>4</v>
      </c>
      <c r="D793">
        <v>10</v>
      </c>
      <c r="E793">
        <v>8</v>
      </c>
      <c r="F793">
        <v>1</v>
      </c>
      <c r="G793">
        <v>4</v>
      </c>
      <c r="H793">
        <v>198</v>
      </c>
      <c r="I793">
        <v>3</v>
      </c>
      <c r="J793">
        <v>61</v>
      </c>
      <c r="K793">
        <f t="shared" si="84"/>
        <v>5</v>
      </c>
      <c r="L793">
        <f t="shared" si="85"/>
        <v>50</v>
      </c>
      <c r="M793">
        <f t="shared" si="86"/>
        <v>60</v>
      </c>
      <c r="N793">
        <f t="shared" si="87"/>
        <v>50</v>
      </c>
      <c r="O793">
        <f t="shared" si="88"/>
        <v>53</v>
      </c>
      <c r="P793" t="str">
        <f t="shared" si="89"/>
        <v>Needs Improvement</v>
      </c>
      <c r="Q793" t="str">
        <f t="shared" si="90"/>
        <v>Medium</v>
      </c>
    </row>
    <row r="794" spans="1:17" x14ac:dyDescent="0.3">
      <c r="A794">
        <v>1793</v>
      </c>
      <c r="B794">
        <v>8</v>
      </c>
      <c r="C794">
        <v>10</v>
      </c>
      <c r="D794">
        <v>1</v>
      </c>
      <c r="E794">
        <v>4</v>
      </c>
      <c r="F794">
        <v>7</v>
      </c>
      <c r="G794">
        <v>7</v>
      </c>
      <c r="H794">
        <v>196</v>
      </c>
      <c r="I794">
        <v>2</v>
      </c>
      <c r="J794">
        <v>84</v>
      </c>
      <c r="K794">
        <f t="shared" si="84"/>
        <v>6</v>
      </c>
      <c r="L794">
        <f t="shared" si="85"/>
        <v>60</v>
      </c>
      <c r="M794">
        <f t="shared" si="86"/>
        <v>60</v>
      </c>
      <c r="N794">
        <f t="shared" si="87"/>
        <v>55</v>
      </c>
      <c r="O794">
        <f t="shared" si="88"/>
        <v>59</v>
      </c>
      <c r="P794" t="str">
        <f t="shared" si="89"/>
        <v>Placement Ready</v>
      </c>
      <c r="Q794" t="str">
        <f t="shared" si="90"/>
        <v>Medium</v>
      </c>
    </row>
    <row r="795" spans="1:17" x14ac:dyDescent="0.3">
      <c r="A795">
        <v>1794</v>
      </c>
      <c r="B795">
        <v>10</v>
      </c>
      <c r="C795">
        <v>4</v>
      </c>
      <c r="D795">
        <v>2</v>
      </c>
      <c r="E795">
        <v>3</v>
      </c>
      <c r="F795">
        <v>9</v>
      </c>
      <c r="G795">
        <v>5</v>
      </c>
      <c r="H795">
        <v>57</v>
      </c>
      <c r="I795">
        <v>5</v>
      </c>
      <c r="J795">
        <v>54</v>
      </c>
      <c r="K795">
        <f t="shared" si="84"/>
        <v>5.6</v>
      </c>
      <c r="L795">
        <f t="shared" si="85"/>
        <v>56</v>
      </c>
      <c r="M795">
        <f t="shared" si="86"/>
        <v>40</v>
      </c>
      <c r="N795">
        <f t="shared" si="87"/>
        <v>75</v>
      </c>
      <c r="O795">
        <f t="shared" si="88"/>
        <v>57</v>
      </c>
      <c r="P795" t="str">
        <f t="shared" si="89"/>
        <v>Needs Improvement</v>
      </c>
      <c r="Q795" t="str">
        <f t="shared" si="90"/>
        <v>Medium</v>
      </c>
    </row>
    <row r="796" spans="1:17" x14ac:dyDescent="0.3">
      <c r="A796">
        <v>1795</v>
      </c>
      <c r="B796">
        <v>8</v>
      </c>
      <c r="C796">
        <v>9</v>
      </c>
      <c r="D796">
        <v>8</v>
      </c>
      <c r="E796">
        <v>3</v>
      </c>
      <c r="F796">
        <v>9</v>
      </c>
      <c r="G796">
        <v>8</v>
      </c>
      <c r="H796">
        <v>153</v>
      </c>
      <c r="I796">
        <v>3</v>
      </c>
      <c r="J796">
        <v>43</v>
      </c>
      <c r="K796">
        <f t="shared" si="84"/>
        <v>7.4</v>
      </c>
      <c r="L796">
        <f t="shared" si="85"/>
        <v>74</v>
      </c>
      <c r="M796">
        <f t="shared" si="86"/>
        <v>60</v>
      </c>
      <c r="N796">
        <f t="shared" si="87"/>
        <v>70</v>
      </c>
      <c r="O796">
        <f t="shared" si="88"/>
        <v>69</v>
      </c>
      <c r="P796" t="str">
        <f t="shared" si="89"/>
        <v>Not Ready</v>
      </c>
      <c r="Q796" t="str">
        <f t="shared" si="90"/>
        <v>Medium</v>
      </c>
    </row>
    <row r="797" spans="1:17" x14ac:dyDescent="0.3">
      <c r="A797">
        <v>1796</v>
      </c>
      <c r="B797">
        <v>1</v>
      </c>
      <c r="C797">
        <v>6</v>
      </c>
      <c r="D797">
        <v>6</v>
      </c>
      <c r="E797">
        <v>5</v>
      </c>
      <c r="F797">
        <v>7</v>
      </c>
      <c r="G797">
        <v>8</v>
      </c>
      <c r="H797">
        <v>210</v>
      </c>
      <c r="I797">
        <v>4</v>
      </c>
      <c r="J797">
        <v>76</v>
      </c>
      <c r="K797">
        <f t="shared" si="84"/>
        <v>5</v>
      </c>
      <c r="L797">
        <f t="shared" si="85"/>
        <v>50</v>
      </c>
      <c r="M797">
        <f t="shared" si="86"/>
        <v>60</v>
      </c>
      <c r="N797">
        <f t="shared" si="87"/>
        <v>80</v>
      </c>
      <c r="O797">
        <f t="shared" si="88"/>
        <v>62</v>
      </c>
      <c r="P797" t="str">
        <f t="shared" si="89"/>
        <v>Placement Ready</v>
      </c>
      <c r="Q797" t="str">
        <f t="shared" si="90"/>
        <v>Medium</v>
      </c>
    </row>
    <row r="798" spans="1:17" x14ac:dyDescent="0.3">
      <c r="A798">
        <v>1797</v>
      </c>
      <c r="B798">
        <v>7</v>
      </c>
      <c r="C798">
        <v>2</v>
      </c>
      <c r="D798">
        <v>8</v>
      </c>
      <c r="E798">
        <v>2</v>
      </c>
      <c r="F798">
        <v>4</v>
      </c>
      <c r="G798">
        <v>5</v>
      </c>
      <c r="H798">
        <v>310</v>
      </c>
      <c r="I798">
        <v>0</v>
      </c>
      <c r="J798">
        <v>71</v>
      </c>
      <c r="K798">
        <f t="shared" si="84"/>
        <v>4.5999999999999996</v>
      </c>
      <c r="L798">
        <f t="shared" si="85"/>
        <v>46</v>
      </c>
      <c r="M798">
        <f t="shared" si="86"/>
        <v>80</v>
      </c>
      <c r="N798">
        <f t="shared" si="87"/>
        <v>25</v>
      </c>
      <c r="O798">
        <f t="shared" si="88"/>
        <v>50</v>
      </c>
      <c r="P798" t="str">
        <f t="shared" si="89"/>
        <v>Needs Improvement</v>
      </c>
      <c r="Q798" t="str">
        <f t="shared" si="90"/>
        <v>Medium</v>
      </c>
    </row>
    <row r="799" spans="1:17" x14ac:dyDescent="0.3">
      <c r="A799">
        <v>1798</v>
      </c>
      <c r="B799">
        <v>10</v>
      </c>
      <c r="C799">
        <v>4</v>
      </c>
      <c r="D799">
        <v>10</v>
      </c>
      <c r="E799">
        <v>1</v>
      </c>
      <c r="F799">
        <v>2</v>
      </c>
      <c r="G799">
        <v>6</v>
      </c>
      <c r="H799">
        <v>51</v>
      </c>
      <c r="I799">
        <v>2</v>
      </c>
      <c r="J799">
        <v>91</v>
      </c>
      <c r="K799">
        <f t="shared" si="84"/>
        <v>5.4</v>
      </c>
      <c r="L799">
        <f t="shared" si="85"/>
        <v>54</v>
      </c>
      <c r="M799">
        <f t="shared" si="86"/>
        <v>40</v>
      </c>
      <c r="N799">
        <f t="shared" si="87"/>
        <v>50</v>
      </c>
      <c r="O799">
        <f t="shared" si="88"/>
        <v>49</v>
      </c>
      <c r="P799" t="str">
        <f t="shared" si="89"/>
        <v>Placement Ready</v>
      </c>
      <c r="Q799" t="str">
        <f t="shared" si="90"/>
        <v>Medium</v>
      </c>
    </row>
    <row r="800" spans="1:17" x14ac:dyDescent="0.3">
      <c r="A800">
        <v>1799</v>
      </c>
      <c r="B800">
        <v>3</v>
      </c>
      <c r="C800">
        <v>1</v>
      </c>
      <c r="D800">
        <v>10</v>
      </c>
      <c r="E800">
        <v>4</v>
      </c>
      <c r="F800">
        <v>4</v>
      </c>
      <c r="G800">
        <v>7</v>
      </c>
      <c r="H800">
        <v>341</v>
      </c>
      <c r="I800">
        <v>3</v>
      </c>
      <c r="J800">
        <v>51</v>
      </c>
      <c r="K800">
        <f t="shared" si="84"/>
        <v>4.4000000000000004</v>
      </c>
      <c r="L800">
        <f t="shared" si="85"/>
        <v>44</v>
      </c>
      <c r="M800">
        <f t="shared" si="86"/>
        <v>80</v>
      </c>
      <c r="N800">
        <f t="shared" si="87"/>
        <v>65</v>
      </c>
      <c r="O800">
        <f t="shared" si="88"/>
        <v>61</v>
      </c>
      <c r="P800" t="str">
        <f t="shared" si="89"/>
        <v>Needs Improvement</v>
      </c>
      <c r="Q800" t="str">
        <f t="shared" si="90"/>
        <v>Medium</v>
      </c>
    </row>
    <row r="801" spans="1:17" x14ac:dyDescent="0.3">
      <c r="A801">
        <v>1800</v>
      </c>
      <c r="B801">
        <v>3</v>
      </c>
      <c r="C801">
        <v>10</v>
      </c>
      <c r="D801">
        <v>3</v>
      </c>
      <c r="E801">
        <v>3</v>
      </c>
      <c r="F801">
        <v>1</v>
      </c>
      <c r="G801">
        <v>2</v>
      </c>
      <c r="H801">
        <v>333</v>
      </c>
      <c r="I801">
        <v>0</v>
      </c>
      <c r="J801">
        <v>93</v>
      </c>
      <c r="K801">
        <f t="shared" si="84"/>
        <v>4</v>
      </c>
      <c r="L801">
        <f t="shared" si="85"/>
        <v>40</v>
      </c>
      <c r="M801">
        <f t="shared" si="86"/>
        <v>80</v>
      </c>
      <c r="N801">
        <f t="shared" si="87"/>
        <v>10</v>
      </c>
      <c r="O801">
        <f t="shared" si="88"/>
        <v>43</v>
      </c>
      <c r="P801" t="str">
        <f t="shared" si="89"/>
        <v>Placement Ready</v>
      </c>
      <c r="Q801" t="str">
        <f t="shared" si="90"/>
        <v>Medium</v>
      </c>
    </row>
    <row r="802" spans="1:17" x14ac:dyDescent="0.3">
      <c r="A802">
        <v>1801</v>
      </c>
      <c r="B802">
        <v>8</v>
      </c>
      <c r="C802">
        <v>8</v>
      </c>
      <c r="D802">
        <v>6</v>
      </c>
      <c r="E802">
        <v>10</v>
      </c>
      <c r="F802">
        <v>4</v>
      </c>
      <c r="G802">
        <v>7</v>
      </c>
      <c r="H802">
        <v>455</v>
      </c>
      <c r="I802">
        <v>1</v>
      </c>
      <c r="J802">
        <v>51</v>
      </c>
      <c r="K802">
        <f t="shared" si="84"/>
        <v>7.2</v>
      </c>
      <c r="L802">
        <f t="shared" si="85"/>
        <v>72</v>
      </c>
      <c r="M802">
        <f t="shared" si="86"/>
        <v>100</v>
      </c>
      <c r="N802">
        <f t="shared" si="87"/>
        <v>45</v>
      </c>
      <c r="O802">
        <f t="shared" si="88"/>
        <v>72</v>
      </c>
      <c r="P802" t="str">
        <f t="shared" si="89"/>
        <v>Needs Improvement</v>
      </c>
      <c r="Q802" t="str">
        <f t="shared" si="90"/>
        <v>High</v>
      </c>
    </row>
    <row r="803" spans="1:17" x14ac:dyDescent="0.3">
      <c r="A803">
        <v>1802</v>
      </c>
      <c r="B803">
        <v>6</v>
      </c>
      <c r="C803">
        <v>9</v>
      </c>
      <c r="D803">
        <v>2</v>
      </c>
      <c r="E803">
        <v>10</v>
      </c>
      <c r="F803">
        <v>6</v>
      </c>
      <c r="G803">
        <v>8</v>
      </c>
      <c r="H803">
        <v>85</v>
      </c>
      <c r="I803">
        <v>0</v>
      </c>
      <c r="J803">
        <v>83</v>
      </c>
      <c r="K803">
        <f t="shared" si="84"/>
        <v>6.6</v>
      </c>
      <c r="L803">
        <f t="shared" si="85"/>
        <v>66</v>
      </c>
      <c r="M803">
        <f t="shared" si="86"/>
        <v>40</v>
      </c>
      <c r="N803">
        <f t="shared" si="87"/>
        <v>40</v>
      </c>
      <c r="O803">
        <f t="shared" si="88"/>
        <v>50</v>
      </c>
      <c r="P803" t="str">
        <f t="shared" si="89"/>
        <v>Placement Ready</v>
      </c>
      <c r="Q803" t="str">
        <f t="shared" si="90"/>
        <v>Medium</v>
      </c>
    </row>
    <row r="804" spans="1:17" x14ac:dyDescent="0.3">
      <c r="A804">
        <v>1803</v>
      </c>
      <c r="B804">
        <v>8</v>
      </c>
      <c r="C804">
        <v>1</v>
      </c>
      <c r="D804">
        <v>3</v>
      </c>
      <c r="E804">
        <v>7</v>
      </c>
      <c r="F804">
        <v>8</v>
      </c>
      <c r="G804">
        <v>4</v>
      </c>
      <c r="H804">
        <v>437</v>
      </c>
      <c r="I804">
        <v>0</v>
      </c>
      <c r="J804">
        <v>73</v>
      </c>
      <c r="K804">
        <f t="shared" si="84"/>
        <v>5.4</v>
      </c>
      <c r="L804">
        <f t="shared" si="85"/>
        <v>54</v>
      </c>
      <c r="M804">
        <f t="shared" si="86"/>
        <v>100</v>
      </c>
      <c r="N804">
        <f t="shared" si="87"/>
        <v>20</v>
      </c>
      <c r="O804">
        <f t="shared" si="88"/>
        <v>58</v>
      </c>
      <c r="P804" t="str">
        <f t="shared" si="89"/>
        <v>Needs Improvement</v>
      </c>
      <c r="Q804" t="str">
        <f t="shared" si="90"/>
        <v>Medium</v>
      </c>
    </row>
    <row r="805" spans="1:17" x14ac:dyDescent="0.3">
      <c r="A805">
        <v>1804</v>
      </c>
      <c r="B805">
        <v>10</v>
      </c>
      <c r="C805">
        <v>7</v>
      </c>
      <c r="D805">
        <v>2</v>
      </c>
      <c r="E805">
        <v>6</v>
      </c>
      <c r="F805">
        <v>1</v>
      </c>
      <c r="G805">
        <v>7</v>
      </c>
      <c r="H805">
        <v>52</v>
      </c>
      <c r="I805">
        <v>2</v>
      </c>
      <c r="J805">
        <v>66</v>
      </c>
      <c r="K805">
        <f t="shared" si="84"/>
        <v>5.2</v>
      </c>
      <c r="L805">
        <f t="shared" si="85"/>
        <v>52</v>
      </c>
      <c r="M805">
        <f t="shared" si="86"/>
        <v>40</v>
      </c>
      <c r="N805">
        <f t="shared" si="87"/>
        <v>55</v>
      </c>
      <c r="O805">
        <f t="shared" si="88"/>
        <v>49</v>
      </c>
      <c r="P805" t="str">
        <f t="shared" si="89"/>
        <v>Needs Improvement</v>
      </c>
      <c r="Q805" t="str">
        <f t="shared" si="90"/>
        <v>Medium</v>
      </c>
    </row>
    <row r="806" spans="1:17" x14ac:dyDescent="0.3">
      <c r="A806">
        <v>1805</v>
      </c>
      <c r="B806">
        <v>1</v>
      </c>
      <c r="C806">
        <v>4</v>
      </c>
      <c r="D806">
        <v>6</v>
      </c>
      <c r="E806">
        <v>8</v>
      </c>
      <c r="F806">
        <v>2</v>
      </c>
      <c r="G806">
        <v>5</v>
      </c>
      <c r="H806">
        <v>438</v>
      </c>
      <c r="I806">
        <v>0</v>
      </c>
      <c r="J806">
        <v>67</v>
      </c>
      <c r="K806">
        <f t="shared" si="84"/>
        <v>4.2</v>
      </c>
      <c r="L806">
        <f t="shared" si="85"/>
        <v>42</v>
      </c>
      <c r="M806">
        <f t="shared" si="86"/>
        <v>100</v>
      </c>
      <c r="N806">
        <f t="shared" si="87"/>
        <v>25</v>
      </c>
      <c r="O806">
        <f t="shared" si="88"/>
        <v>54</v>
      </c>
      <c r="P806" t="str">
        <f t="shared" si="89"/>
        <v>Needs Improvement</v>
      </c>
      <c r="Q806" t="str">
        <f t="shared" si="90"/>
        <v>Medium</v>
      </c>
    </row>
    <row r="807" spans="1:17" x14ac:dyDescent="0.3">
      <c r="A807">
        <v>1806</v>
      </c>
      <c r="B807">
        <v>9</v>
      </c>
      <c r="C807">
        <v>5</v>
      </c>
      <c r="D807">
        <v>3</v>
      </c>
      <c r="E807">
        <v>2</v>
      </c>
      <c r="F807">
        <v>3</v>
      </c>
      <c r="G807">
        <v>8</v>
      </c>
      <c r="H807">
        <v>163</v>
      </c>
      <c r="I807">
        <v>4</v>
      </c>
      <c r="J807">
        <v>49</v>
      </c>
      <c r="K807">
        <f t="shared" si="84"/>
        <v>4.4000000000000004</v>
      </c>
      <c r="L807">
        <f t="shared" si="85"/>
        <v>44</v>
      </c>
      <c r="M807">
        <f t="shared" si="86"/>
        <v>60</v>
      </c>
      <c r="N807">
        <f t="shared" si="87"/>
        <v>80</v>
      </c>
      <c r="O807">
        <f t="shared" si="88"/>
        <v>60</v>
      </c>
      <c r="P807" t="str">
        <f t="shared" si="89"/>
        <v>Not Ready</v>
      </c>
      <c r="Q807" t="str">
        <f t="shared" si="90"/>
        <v>Medium</v>
      </c>
    </row>
    <row r="808" spans="1:17" x14ac:dyDescent="0.3">
      <c r="A808">
        <v>1807</v>
      </c>
      <c r="B808">
        <v>6</v>
      </c>
      <c r="C808">
        <v>10</v>
      </c>
      <c r="D808">
        <v>4</v>
      </c>
      <c r="E808">
        <v>9</v>
      </c>
      <c r="F808">
        <v>8</v>
      </c>
      <c r="G808">
        <v>6</v>
      </c>
      <c r="H808">
        <v>337</v>
      </c>
      <c r="I808">
        <v>2</v>
      </c>
      <c r="J808">
        <v>61</v>
      </c>
      <c r="K808">
        <f t="shared" si="84"/>
        <v>7.4</v>
      </c>
      <c r="L808">
        <f t="shared" si="85"/>
        <v>74</v>
      </c>
      <c r="M808">
        <f t="shared" si="86"/>
        <v>80</v>
      </c>
      <c r="N808">
        <f t="shared" si="87"/>
        <v>50</v>
      </c>
      <c r="O808">
        <f t="shared" si="88"/>
        <v>69</v>
      </c>
      <c r="P808" t="str">
        <f t="shared" si="89"/>
        <v>Needs Improvement</v>
      </c>
      <c r="Q808" t="str">
        <f t="shared" si="90"/>
        <v>Medium</v>
      </c>
    </row>
    <row r="809" spans="1:17" x14ac:dyDescent="0.3">
      <c r="A809">
        <v>1808</v>
      </c>
      <c r="B809">
        <v>5</v>
      </c>
      <c r="C809">
        <v>3</v>
      </c>
      <c r="D809">
        <v>1</v>
      </c>
      <c r="E809">
        <v>9</v>
      </c>
      <c r="F809">
        <v>7</v>
      </c>
      <c r="G809">
        <v>6</v>
      </c>
      <c r="H809">
        <v>104</v>
      </c>
      <c r="I809">
        <v>2</v>
      </c>
      <c r="J809">
        <v>76</v>
      </c>
      <c r="K809">
        <f t="shared" si="84"/>
        <v>5</v>
      </c>
      <c r="L809">
        <f t="shared" si="85"/>
        <v>50</v>
      </c>
      <c r="M809">
        <f t="shared" si="86"/>
        <v>40</v>
      </c>
      <c r="N809">
        <f t="shared" si="87"/>
        <v>50</v>
      </c>
      <c r="O809">
        <f t="shared" si="88"/>
        <v>47</v>
      </c>
      <c r="P809" t="str">
        <f t="shared" si="89"/>
        <v>Placement Ready</v>
      </c>
      <c r="Q809" t="str">
        <f t="shared" si="90"/>
        <v>Medium</v>
      </c>
    </row>
    <row r="810" spans="1:17" x14ac:dyDescent="0.3">
      <c r="A810">
        <v>1809</v>
      </c>
      <c r="B810">
        <v>7</v>
      </c>
      <c r="C810">
        <v>7</v>
      </c>
      <c r="D810">
        <v>2</v>
      </c>
      <c r="E810">
        <v>6</v>
      </c>
      <c r="F810">
        <v>7</v>
      </c>
      <c r="G810">
        <v>8</v>
      </c>
      <c r="H810">
        <v>338</v>
      </c>
      <c r="I810">
        <v>5</v>
      </c>
      <c r="J810">
        <v>86</v>
      </c>
      <c r="K810">
        <f t="shared" si="84"/>
        <v>5.8</v>
      </c>
      <c r="L810">
        <f t="shared" si="85"/>
        <v>58</v>
      </c>
      <c r="M810">
        <f t="shared" si="86"/>
        <v>80</v>
      </c>
      <c r="N810">
        <f t="shared" si="87"/>
        <v>90</v>
      </c>
      <c r="O810">
        <f t="shared" si="88"/>
        <v>74</v>
      </c>
      <c r="P810" t="str">
        <f t="shared" si="89"/>
        <v>Placement Ready</v>
      </c>
      <c r="Q810" t="str">
        <f t="shared" si="90"/>
        <v>High</v>
      </c>
    </row>
    <row r="811" spans="1:17" x14ac:dyDescent="0.3">
      <c r="A811">
        <v>1810</v>
      </c>
      <c r="B811">
        <v>10</v>
      </c>
      <c r="C811">
        <v>1</v>
      </c>
      <c r="D811">
        <v>9</v>
      </c>
      <c r="E811">
        <v>7</v>
      </c>
      <c r="F811">
        <v>1</v>
      </c>
      <c r="G811">
        <v>5</v>
      </c>
      <c r="H811">
        <v>411</v>
      </c>
      <c r="I811">
        <v>1</v>
      </c>
      <c r="J811">
        <v>94</v>
      </c>
      <c r="K811">
        <f t="shared" si="84"/>
        <v>5.6</v>
      </c>
      <c r="L811">
        <f t="shared" si="85"/>
        <v>56</v>
      </c>
      <c r="M811">
        <f t="shared" si="86"/>
        <v>100</v>
      </c>
      <c r="N811">
        <f t="shared" si="87"/>
        <v>35</v>
      </c>
      <c r="O811">
        <f t="shared" si="88"/>
        <v>63</v>
      </c>
      <c r="P811" t="str">
        <f t="shared" si="89"/>
        <v>Placement Ready</v>
      </c>
      <c r="Q811" t="str">
        <f t="shared" si="90"/>
        <v>Medium</v>
      </c>
    </row>
    <row r="812" spans="1:17" x14ac:dyDescent="0.3">
      <c r="A812">
        <v>1811</v>
      </c>
      <c r="B812">
        <v>10</v>
      </c>
      <c r="C812">
        <v>5</v>
      </c>
      <c r="D812">
        <v>3</v>
      </c>
      <c r="E812">
        <v>8</v>
      </c>
      <c r="F812">
        <v>10</v>
      </c>
      <c r="G812">
        <v>4</v>
      </c>
      <c r="H812">
        <v>249</v>
      </c>
      <c r="I812">
        <v>2</v>
      </c>
      <c r="J812">
        <v>40</v>
      </c>
      <c r="K812">
        <f t="shared" si="84"/>
        <v>7.2</v>
      </c>
      <c r="L812">
        <f t="shared" si="85"/>
        <v>72</v>
      </c>
      <c r="M812">
        <f t="shared" si="86"/>
        <v>60</v>
      </c>
      <c r="N812">
        <f t="shared" si="87"/>
        <v>40</v>
      </c>
      <c r="O812">
        <f t="shared" si="88"/>
        <v>59</v>
      </c>
      <c r="P812" t="str">
        <f t="shared" si="89"/>
        <v>Not Ready</v>
      </c>
      <c r="Q812" t="str">
        <f t="shared" si="90"/>
        <v>Medium</v>
      </c>
    </row>
    <row r="813" spans="1:17" x14ac:dyDescent="0.3">
      <c r="A813">
        <v>1812</v>
      </c>
      <c r="B813">
        <v>3</v>
      </c>
      <c r="C813">
        <v>9</v>
      </c>
      <c r="D813">
        <v>10</v>
      </c>
      <c r="E813">
        <v>2</v>
      </c>
      <c r="F813">
        <v>10</v>
      </c>
      <c r="G813">
        <v>3</v>
      </c>
      <c r="H813">
        <v>424</v>
      </c>
      <c r="I813">
        <v>1</v>
      </c>
      <c r="J813">
        <v>49</v>
      </c>
      <c r="K813">
        <f t="shared" si="84"/>
        <v>6.8</v>
      </c>
      <c r="L813">
        <f t="shared" si="85"/>
        <v>68</v>
      </c>
      <c r="M813">
        <f t="shared" si="86"/>
        <v>100</v>
      </c>
      <c r="N813">
        <f t="shared" si="87"/>
        <v>25</v>
      </c>
      <c r="O813">
        <f t="shared" si="88"/>
        <v>65</v>
      </c>
      <c r="P813" t="str">
        <f t="shared" si="89"/>
        <v>Not Ready</v>
      </c>
      <c r="Q813" t="str">
        <f t="shared" si="90"/>
        <v>Medium</v>
      </c>
    </row>
    <row r="814" spans="1:17" x14ac:dyDescent="0.3">
      <c r="A814">
        <v>1813</v>
      </c>
      <c r="B814">
        <v>2</v>
      </c>
      <c r="C814">
        <v>4</v>
      </c>
      <c r="D814">
        <v>6</v>
      </c>
      <c r="E814">
        <v>7</v>
      </c>
      <c r="F814">
        <v>4</v>
      </c>
      <c r="G814">
        <v>0</v>
      </c>
      <c r="H814">
        <v>461</v>
      </c>
      <c r="I814">
        <v>5</v>
      </c>
      <c r="J814">
        <v>87</v>
      </c>
      <c r="K814">
        <f t="shared" si="84"/>
        <v>4.5999999999999996</v>
      </c>
      <c r="L814">
        <f t="shared" si="85"/>
        <v>46</v>
      </c>
      <c r="M814">
        <f t="shared" si="86"/>
        <v>100</v>
      </c>
      <c r="N814">
        <f t="shared" si="87"/>
        <v>50</v>
      </c>
      <c r="O814">
        <f t="shared" si="88"/>
        <v>63</v>
      </c>
      <c r="P814" t="str">
        <f t="shared" si="89"/>
        <v>Placement Ready</v>
      </c>
      <c r="Q814" t="str">
        <f t="shared" si="90"/>
        <v>Medium</v>
      </c>
    </row>
    <row r="815" spans="1:17" x14ac:dyDescent="0.3">
      <c r="A815">
        <v>1814</v>
      </c>
      <c r="B815">
        <v>10</v>
      </c>
      <c r="C815">
        <v>9</v>
      </c>
      <c r="D815">
        <v>9</v>
      </c>
      <c r="E815">
        <v>2</v>
      </c>
      <c r="F815">
        <v>3</v>
      </c>
      <c r="G815">
        <v>7</v>
      </c>
      <c r="H815">
        <v>172</v>
      </c>
      <c r="I815">
        <v>0</v>
      </c>
      <c r="J815">
        <v>65</v>
      </c>
      <c r="K815">
        <f t="shared" si="84"/>
        <v>6.6</v>
      </c>
      <c r="L815">
        <f t="shared" si="85"/>
        <v>66</v>
      </c>
      <c r="M815">
        <f t="shared" si="86"/>
        <v>60</v>
      </c>
      <c r="N815">
        <f t="shared" si="87"/>
        <v>35</v>
      </c>
      <c r="O815">
        <f t="shared" si="88"/>
        <v>55</v>
      </c>
      <c r="P815" t="str">
        <f t="shared" si="89"/>
        <v>Needs Improvement</v>
      </c>
      <c r="Q815" t="str">
        <f t="shared" si="90"/>
        <v>Medium</v>
      </c>
    </row>
    <row r="816" spans="1:17" x14ac:dyDescent="0.3">
      <c r="A816">
        <v>1815</v>
      </c>
      <c r="B816">
        <v>7</v>
      </c>
      <c r="C816">
        <v>1</v>
      </c>
      <c r="D816">
        <v>2</v>
      </c>
      <c r="E816">
        <v>10</v>
      </c>
      <c r="F816">
        <v>4</v>
      </c>
      <c r="G816">
        <v>0</v>
      </c>
      <c r="H816">
        <v>411</v>
      </c>
      <c r="I816">
        <v>3</v>
      </c>
      <c r="J816">
        <v>51</v>
      </c>
      <c r="K816">
        <f t="shared" si="84"/>
        <v>4.8</v>
      </c>
      <c r="L816">
        <f t="shared" si="85"/>
        <v>48</v>
      </c>
      <c r="M816">
        <f t="shared" si="86"/>
        <v>100</v>
      </c>
      <c r="N816">
        <f t="shared" si="87"/>
        <v>30</v>
      </c>
      <c r="O816">
        <f t="shared" si="88"/>
        <v>58</v>
      </c>
      <c r="P816" t="str">
        <f t="shared" si="89"/>
        <v>Needs Improvement</v>
      </c>
      <c r="Q816" t="str">
        <f t="shared" si="90"/>
        <v>Medium</v>
      </c>
    </row>
    <row r="817" spans="1:17" x14ac:dyDescent="0.3">
      <c r="A817">
        <v>1816</v>
      </c>
      <c r="B817">
        <v>7</v>
      </c>
      <c r="C817">
        <v>1</v>
      </c>
      <c r="D817">
        <v>9</v>
      </c>
      <c r="E817">
        <v>8</v>
      </c>
      <c r="F817">
        <v>6</v>
      </c>
      <c r="G817">
        <v>3</v>
      </c>
      <c r="H817">
        <v>246</v>
      </c>
      <c r="I817">
        <v>0</v>
      </c>
      <c r="J817">
        <v>46</v>
      </c>
      <c r="K817">
        <f t="shared" si="84"/>
        <v>6.2</v>
      </c>
      <c r="L817">
        <f t="shared" si="85"/>
        <v>62</v>
      </c>
      <c r="M817">
        <f t="shared" si="86"/>
        <v>60</v>
      </c>
      <c r="N817">
        <f t="shared" si="87"/>
        <v>15</v>
      </c>
      <c r="O817">
        <f t="shared" si="88"/>
        <v>47</v>
      </c>
      <c r="P817" t="str">
        <f t="shared" si="89"/>
        <v>Not Ready</v>
      </c>
      <c r="Q817" t="str">
        <f t="shared" si="90"/>
        <v>Medium</v>
      </c>
    </row>
    <row r="818" spans="1:17" x14ac:dyDescent="0.3">
      <c r="A818">
        <v>1817</v>
      </c>
      <c r="B818">
        <v>1</v>
      </c>
      <c r="C818">
        <v>2</v>
      </c>
      <c r="D818">
        <v>3</v>
      </c>
      <c r="E818">
        <v>10</v>
      </c>
      <c r="F818">
        <v>9</v>
      </c>
      <c r="G818">
        <v>5</v>
      </c>
      <c r="H818">
        <v>386</v>
      </c>
      <c r="I818">
        <v>0</v>
      </c>
      <c r="J818">
        <v>50</v>
      </c>
      <c r="K818">
        <f t="shared" si="84"/>
        <v>5</v>
      </c>
      <c r="L818">
        <f t="shared" si="85"/>
        <v>50</v>
      </c>
      <c r="M818">
        <f t="shared" si="86"/>
        <v>80</v>
      </c>
      <c r="N818">
        <f t="shared" si="87"/>
        <v>25</v>
      </c>
      <c r="O818">
        <f t="shared" si="88"/>
        <v>52</v>
      </c>
      <c r="P818" t="str">
        <f t="shared" si="89"/>
        <v>Needs Improvement</v>
      </c>
      <c r="Q818" t="str">
        <f t="shared" si="90"/>
        <v>Medium</v>
      </c>
    </row>
    <row r="819" spans="1:17" x14ac:dyDescent="0.3">
      <c r="A819">
        <v>1818</v>
      </c>
      <c r="B819">
        <v>10</v>
      </c>
      <c r="C819">
        <v>5</v>
      </c>
      <c r="D819">
        <v>5</v>
      </c>
      <c r="E819">
        <v>7</v>
      </c>
      <c r="F819">
        <v>9</v>
      </c>
      <c r="G819">
        <v>8</v>
      </c>
      <c r="H819">
        <v>52</v>
      </c>
      <c r="I819">
        <v>3</v>
      </c>
      <c r="J819">
        <v>76</v>
      </c>
      <c r="K819">
        <f t="shared" si="84"/>
        <v>7.2</v>
      </c>
      <c r="L819">
        <f t="shared" si="85"/>
        <v>72</v>
      </c>
      <c r="M819">
        <f t="shared" si="86"/>
        <v>40</v>
      </c>
      <c r="N819">
        <f t="shared" si="87"/>
        <v>70</v>
      </c>
      <c r="O819">
        <f t="shared" si="88"/>
        <v>62</v>
      </c>
      <c r="P819" t="str">
        <f t="shared" si="89"/>
        <v>Placement Ready</v>
      </c>
      <c r="Q819" t="str">
        <f t="shared" si="90"/>
        <v>Medium</v>
      </c>
    </row>
    <row r="820" spans="1:17" x14ac:dyDescent="0.3">
      <c r="A820">
        <v>1819</v>
      </c>
      <c r="B820">
        <v>10</v>
      </c>
      <c r="C820">
        <v>4</v>
      </c>
      <c r="D820">
        <v>2</v>
      </c>
      <c r="E820">
        <v>7</v>
      </c>
      <c r="F820">
        <v>9</v>
      </c>
      <c r="G820">
        <v>8</v>
      </c>
      <c r="H820">
        <v>104</v>
      </c>
      <c r="I820">
        <v>4</v>
      </c>
      <c r="J820">
        <v>75</v>
      </c>
      <c r="K820">
        <f t="shared" si="84"/>
        <v>6.4</v>
      </c>
      <c r="L820">
        <f t="shared" si="85"/>
        <v>64</v>
      </c>
      <c r="M820">
        <f t="shared" si="86"/>
        <v>40</v>
      </c>
      <c r="N820">
        <f t="shared" si="87"/>
        <v>80</v>
      </c>
      <c r="O820">
        <f t="shared" si="88"/>
        <v>62</v>
      </c>
      <c r="P820" t="str">
        <f t="shared" si="89"/>
        <v>Placement Ready</v>
      </c>
      <c r="Q820" t="str">
        <f t="shared" si="90"/>
        <v>Medium</v>
      </c>
    </row>
    <row r="821" spans="1:17" x14ac:dyDescent="0.3">
      <c r="A821">
        <v>1820</v>
      </c>
      <c r="B821">
        <v>10</v>
      </c>
      <c r="C821">
        <v>9</v>
      </c>
      <c r="D821">
        <v>8</v>
      </c>
      <c r="E821">
        <v>8</v>
      </c>
      <c r="F821">
        <v>3</v>
      </c>
      <c r="G821">
        <v>3</v>
      </c>
      <c r="H821">
        <v>248</v>
      </c>
      <c r="I821">
        <v>5</v>
      </c>
      <c r="J821">
        <v>76</v>
      </c>
      <c r="K821">
        <f t="shared" si="84"/>
        <v>7.6</v>
      </c>
      <c r="L821">
        <f t="shared" si="85"/>
        <v>76</v>
      </c>
      <c r="M821">
        <f t="shared" si="86"/>
        <v>60</v>
      </c>
      <c r="N821">
        <f t="shared" si="87"/>
        <v>65</v>
      </c>
      <c r="O821">
        <f t="shared" si="88"/>
        <v>68</v>
      </c>
      <c r="P821" t="str">
        <f t="shared" si="89"/>
        <v>Placement Ready</v>
      </c>
      <c r="Q821" t="str">
        <f t="shared" si="90"/>
        <v>Medium</v>
      </c>
    </row>
    <row r="822" spans="1:17" x14ac:dyDescent="0.3">
      <c r="A822">
        <v>1821</v>
      </c>
      <c r="B822">
        <v>1</v>
      </c>
      <c r="C822">
        <v>2</v>
      </c>
      <c r="D822">
        <v>1</v>
      </c>
      <c r="E822">
        <v>2</v>
      </c>
      <c r="F822">
        <v>5</v>
      </c>
      <c r="G822">
        <v>6</v>
      </c>
      <c r="H822">
        <v>494</v>
      </c>
      <c r="I822">
        <v>4</v>
      </c>
      <c r="J822">
        <v>76</v>
      </c>
      <c r="K822">
        <f t="shared" si="84"/>
        <v>2.2000000000000002</v>
      </c>
      <c r="L822">
        <f t="shared" si="85"/>
        <v>22</v>
      </c>
      <c r="M822">
        <f t="shared" si="86"/>
        <v>100</v>
      </c>
      <c r="N822">
        <f t="shared" si="87"/>
        <v>70</v>
      </c>
      <c r="O822">
        <f t="shared" si="88"/>
        <v>60</v>
      </c>
      <c r="P822" t="str">
        <f t="shared" si="89"/>
        <v>Placement Ready</v>
      </c>
      <c r="Q822" t="str">
        <f t="shared" si="90"/>
        <v>Medium</v>
      </c>
    </row>
    <row r="823" spans="1:17" x14ac:dyDescent="0.3">
      <c r="A823">
        <v>1822</v>
      </c>
      <c r="B823">
        <v>1</v>
      </c>
      <c r="C823">
        <v>2</v>
      </c>
      <c r="D823">
        <v>4</v>
      </c>
      <c r="E823">
        <v>6</v>
      </c>
      <c r="F823">
        <v>9</v>
      </c>
      <c r="G823">
        <v>1</v>
      </c>
      <c r="H823">
        <v>211</v>
      </c>
      <c r="I823">
        <v>5</v>
      </c>
      <c r="J823">
        <v>74</v>
      </c>
      <c r="K823">
        <f t="shared" si="84"/>
        <v>4.4000000000000004</v>
      </c>
      <c r="L823">
        <f t="shared" si="85"/>
        <v>44</v>
      </c>
      <c r="M823">
        <f t="shared" si="86"/>
        <v>60</v>
      </c>
      <c r="N823">
        <f t="shared" si="87"/>
        <v>55</v>
      </c>
      <c r="O823">
        <f t="shared" si="88"/>
        <v>52</v>
      </c>
      <c r="P823" t="str">
        <f t="shared" si="89"/>
        <v>Needs Improvement</v>
      </c>
      <c r="Q823" t="str">
        <f t="shared" si="90"/>
        <v>Medium</v>
      </c>
    </row>
    <row r="824" spans="1:17" x14ac:dyDescent="0.3">
      <c r="A824">
        <v>1823</v>
      </c>
      <c r="B824">
        <v>9</v>
      </c>
      <c r="C824">
        <v>1</v>
      </c>
      <c r="D824">
        <v>7</v>
      </c>
      <c r="E824">
        <v>7</v>
      </c>
      <c r="F824">
        <v>6</v>
      </c>
      <c r="G824">
        <v>4</v>
      </c>
      <c r="H824">
        <v>487</v>
      </c>
      <c r="I824">
        <v>2</v>
      </c>
      <c r="J824">
        <v>79</v>
      </c>
      <c r="K824">
        <f t="shared" si="84"/>
        <v>6</v>
      </c>
      <c r="L824">
        <f t="shared" si="85"/>
        <v>60</v>
      </c>
      <c r="M824">
        <f t="shared" si="86"/>
        <v>100</v>
      </c>
      <c r="N824">
        <f t="shared" si="87"/>
        <v>40</v>
      </c>
      <c r="O824">
        <f t="shared" si="88"/>
        <v>66</v>
      </c>
      <c r="P824" t="str">
        <f t="shared" si="89"/>
        <v>Placement Ready</v>
      </c>
      <c r="Q824" t="str">
        <f t="shared" si="90"/>
        <v>Medium</v>
      </c>
    </row>
    <row r="825" spans="1:17" x14ac:dyDescent="0.3">
      <c r="A825">
        <v>1824</v>
      </c>
      <c r="B825">
        <v>6</v>
      </c>
      <c r="C825">
        <v>6</v>
      </c>
      <c r="D825">
        <v>6</v>
      </c>
      <c r="E825">
        <v>6</v>
      </c>
      <c r="F825">
        <v>9</v>
      </c>
      <c r="G825">
        <v>1</v>
      </c>
      <c r="H825">
        <v>443</v>
      </c>
      <c r="I825">
        <v>5</v>
      </c>
      <c r="J825">
        <v>82</v>
      </c>
      <c r="K825">
        <f t="shared" si="84"/>
        <v>6.6</v>
      </c>
      <c r="L825">
        <f t="shared" si="85"/>
        <v>66</v>
      </c>
      <c r="M825">
        <f t="shared" si="86"/>
        <v>100</v>
      </c>
      <c r="N825">
        <f t="shared" si="87"/>
        <v>55</v>
      </c>
      <c r="O825">
        <f t="shared" si="88"/>
        <v>73</v>
      </c>
      <c r="P825" t="str">
        <f t="shared" si="89"/>
        <v>Placement Ready</v>
      </c>
      <c r="Q825" t="str">
        <f t="shared" si="90"/>
        <v>High</v>
      </c>
    </row>
    <row r="826" spans="1:17" x14ac:dyDescent="0.3">
      <c r="A826">
        <v>1825</v>
      </c>
      <c r="B826">
        <v>10</v>
      </c>
      <c r="C826">
        <v>5</v>
      </c>
      <c r="D826">
        <v>1</v>
      </c>
      <c r="E826">
        <v>7</v>
      </c>
      <c r="F826">
        <v>1</v>
      </c>
      <c r="G826">
        <v>1</v>
      </c>
      <c r="H826">
        <v>61</v>
      </c>
      <c r="I826">
        <v>0</v>
      </c>
      <c r="J826">
        <v>64</v>
      </c>
      <c r="K826">
        <f t="shared" si="84"/>
        <v>4.8</v>
      </c>
      <c r="L826">
        <f t="shared" si="85"/>
        <v>48</v>
      </c>
      <c r="M826">
        <f t="shared" si="86"/>
        <v>40</v>
      </c>
      <c r="N826">
        <f t="shared" si="87"/>
        <v>5</v>
      </c>
      <c r="O826">
        <f t="shared" si="88"/>
        <v>33</v>
      </c>
      <c r="P826" t="str">
        <f t="shared" si="89"/>
        <v>Needs Improvement</v>
      </c>
      <c r="Q826" t="str">
        <f t="shared" si="90"/>
        <v>Low</v>
      </c>
    </row>
    <row r="827" spans="1:17" x14ac:dyDescent="0.3">
      <c r="A827">
        <v>1826</v>
      </c>
      <c r="B827">
        <v>9</v>
      </c>
      <c r="C827">
        <v>9</v>
      </c>
      <c r="D827">
        <v>7</v>
      </c>
      <c r="E827">
        <v>4</v>
      </c>
      <c r="F827">
        <v>9</v>
      </c>
      <c r="G827">
        <v>2</v>
      </c>
      <c r="H827">
        <v>53</v>
      </c>
      <c r="I827">
        <v>2</v>
      </c>
      <c r="J827">
        <v>65</v>
      </c>
      <c r="K827">
        <f t="shared" si="84"/>
        <v>7.6</v>
      </c>
      <c r="L827">
        <f t="shared" si="85"/>
        <v>76</v>
      </c>
      <c r="M827">
        <f t="shared" si="86"/>
        <v>40</v>
      </c>
      <c r="N827">
        <f t="shared" si="87"/>
        <v>30</v>
      </c>
      <c r="O827">
        <f t="shared" si="88"/>
        <v>51</v>
      </c>
      <c r="P827" t="str">
        <f t="shared" si="89"/>
        <v>Needs Improvement</v>
      </c>
      <c r="Q827" t="str">
        <f t="shared" si="90"/>
        <v>Medium</v>
      </c>
    </row>
    <row r="828" spans="1:17" x14ac:dyDescent="0.3">
      <c r="A828">
        <v>1827</v>
      </c>
      <c r="B828">
        <v>10</v>
      </c>
      <c r="C828">
        <v>10</v>
      </c>
      <c r="D828">
        <v>4</v>
      </c>
      <c r="E828">
        <v>3</v>
      </c>
      <c r="F828">
        <v>10</v>
      </c>
      <c r="G828">
        <v>5</v>
      </c>
      <c r="H828">
        <v>406</v>
      </c>
      <c r="I828">
        <v>1</v>
      </c>
      <c r="J828">
        <v>64</v>
      </c>
      <c r="K828">
        <f t="shared" si="84"/>
        <v>7.4</v>
      </c>
      <c r="L828">
        <f t="shared" si="85"/>
        <v>74</v>
      </c>
      <c r="M828">
        <f t="shared" si="86"/>
        <v>100</v>
      </c>
      <c r="N828">
        <f t="shared" si="87"/>
        <v>35</v>
      </c>
      <c r="O828">
        <f t="shared" si="88"/>
        <v>70</v>
      </c>
      <c r="P828" t="str">
        <f t="shared" si="89"/>
        <v>Needs Improvement</v>
      </c>
      <c r="Q828" t="str">
        <f t="shared" si="90"/>
        <v>Medium</v>
      </c>
    </row>
    <row r="829" spans="1:17" x14ac:dyDescent="0.3">
      <c r="A829">
        <v>1828</v>
      </c>
      <c r="B829">
        <v>9</v>
      </c>
      <c r="C829">
        <v>5</v>
      </c>
      <c r="D829">
        <v>9</v>
      </c>
      <c r="E829">
        <v>3</v>
      </c>
      <c r="F829">
        <v>4</v>
      </c>
      <c r="G829">
        <v>6</v>
      </c>
      <c r="H829">
        <v>391</v>
      </c>
      <c r="I829">
        <v>1</v>
      </c>
      <c r="J829">
        <v>42</v>
      </c>
      <c r="K829">
        <f t="shared" si="84"/>
        <v>6</v>
      </c>
      <c r="L829">
        <f t="shared" si="85"/>
        <v>60</v>
      </c>
      <c r="M829">
        <f t="shared" si="86"/>
        <v>80</v>
      </c>
      <c r="N829">
        <f t="shared" si="87"/>
        <v>40</v>
      </c>
      <c r="O829">
        <f t="shared" si="88"/>
        <v>60</v>
      </c>
      <c r="P829" t="str">
        <f t="shared" si="89"/>
        <v>Not Ready</v>
      </c>
      <c r="Q829" t="str">
        <f t="shared" si="90"/>
        <v>Medium</v>
      </c>
    </row>
    <row r="830" spans="1:17" x14ac:dyDescent="0.3">
      <c r="A830">
        <v>1829</v>
      </c>
      <c r="B830">
        <v>10</v>
      </c>
      <c r="C830">
        <v>7</v>
      </c>
      <c r="D830">
        <v>1</v>
      </c>
      <c r="E830">
        <v>10</v>
      </c>
      <c r="F830">
        <v>6</v>
      </c>
      <c r="G830">
        <v>7</v>
      </c>
      <c r="H830">
        <v>65</v>
      </c>
      <c r="I830">
        <v>0</v>
      </c>
      <c r="J830">
        <v>72</v>
      </c>
      <c r="K830">
        <f t="shared" si="84"/>
        <v>6.8</v>
      </c>
      <c r="L830">
        <f t="shared" si="85"/>
        <v>68</v>
      </c>
      <c r="M830">
        <f t="shared" si="86"/>
        <v>40</v>
      </c>
      <c r="N830">
        <f t="shared" si="87"/>
        <v>35</v>
      </c>
      <c r="O830">
        <f t="shared" si="88"/>
        <v>50</v>
      </c>
      <c r="P830" t="str">
        <f t="shared" si="89"/>
        <v>Needs Improvement</v>
      </c>
      <c r="Q830" t="str">
        <f t="shared" si="90"/>
        <v>Medium</v>
      </c>
    </row>
    <row r="831" spans="1:17" x14ac:dyDescent="0.3">
      <c r="A831">
        <v>1830</v>
      </c>
      <c r="B831">
        <v>5</v>
      </c>
      <c r="C831">
        <v>5</v>
      </c>
      <c r="D831">
        <v>6</v>
      </c>
      <c r="E831">
        <v>2</v>
      </c>
      <c r="F831">
        <v>1</v>
      </c>
      <c r="G831">
        <v>8</v>
      </c>
      <c r="H831">
        <v>416</v>
      </c>
      <c r="I831">
        <v>4</v>
      </c>
      <c r="J831">
        <v>86</v>
      </c>
      <c r="K831">
        <f t="shared" si="84"/>
        <v>3.8</v>
      </c>
      <c r="L831">
        <f t="shared" si="85"/>
        <v>38</v>
      </c>
      <c r="M831">
        <f t="shared" si="86"/>
        <v>100</v>
      </c>
      <c r="N831">
        <f t="shared" si="87"/>
        <v>80</v>
      </c>
      <c r="O831">
        <f t="shared" si="88"/>
        <v>69</v>
      </c>
      <c r="P831" t="str">
        <f t="shared" si="89"/>
        <v>Placement Ready</v>
      </c>
      <c r="Q831" t="str">
        <f t="shared" si="90"/>
        <v>Medium</v>
      </c>
    </row>
    <row r="832" spans="1:17" x14ac:dyDescent="0.3">
      <c r="A832">
        <v>1831</v>
      </c>
      <c r="B832">
        <v>8</v>
      </c>
      <c r="C832">
        <v>10</v>
      </c>
      <c r="D832">
        <v>3</v>
      </c>
      <c r="E832">
        <v>1</v>
      </c>
      <c r="F832">
        <v>9</v>
      </c>
      <c r="G832">
        <v>8</v>
      </c>
      <c r="H832">
        <v>331</v>
      </c>
      <c r="I832">
        <v>3</v>
      </c>
      <c r="J832">
        <v>78</v>
      </c>
      <c r="K832">
        <f t="shared" si="84"/>
        <v>6.2</v>
      </c>
      <c r="L832">
        <f t="shared" si="85"/>
        <v>62</v>
      </c>
      <c r="M832">
        <f t="shared" si="86"/>
        <v>80</v>
      </c>
      <c r="N832">
        <f t="shared" si="87"/>
        <v>70</v>
      </c>
      <c r="O832">
        <f t="shared" si="88"/>
        <v>70</v>
      </c>
      <c r="P832" t="str">
        <f t="shared" si="89"/>
        <v>Placement Ready</v>
      </c>
      <c r="Q832" t="str">
        <f t="shared" si="90"/>
        <v>Medium</v>
      </c>
    </row>
    <row r="833" spans="1:17" x14ac:dyDescent="0.3">
      <c r="A833">
        <v>1832</v>
      </c>
      <c r="B833">
        <v>3</v>
      </c>
      <c r="C833">
        <v>8</v>
      </c>
      <c r="D833">
        <v>7</v>
      </c>
      <c r="E833">
        <v>9</v>
      </c>
      <c r="F833">
        <v>4</v>
      </c>
      <c r="G833">
        <v>0</v>
      </c>
      <c r="H833">
        <v>280</v>
      </c>
      <c r="I833">
        <v>2</v>
      </c>
      <c r="J833">
        <v>82</v>
      </c>
      <c r="K833">
        <f t="shared" si="84"/>
        <v>6.2</v>
      </c>
      <c r="L833">
        <f t="shared" si="85"/>
        <v>62</v>
      </c>
      <c r="M833">
        <f t="shared" si="86"/>
        <v>80</v>
      </c>
      <c r="N833">
        <f t="shared" si="87"/>
        <v>20</v>
      </c>
      <c r="O833">
        <f t="shared" si="88"/>
        <v>55</v>
      </c>
      <c r="P833" t="str">
        <f t="shared" si="89"/>
        <v>Placement Ready</v>
      </c>
      <c r="Q833" t="str">
        <f t="shared" si="90"/>
        <v>Medium</v>
      </c>
    </row>
    <row r="834" spans="1:17" x14ac:dyDescent="0.3">
      <c r="A834">
        <v>1833</v>
      </c>
      <c r="B834">
        <v>10</v>
      </c>
      <c r="C834">
        <v>6</v>
      </c>
      <c r="D834">
        <v>2</v>
      </c>
      <c r="E834">
        <v>3</v>
      </c>
      <c r="F834">
        <v>2</v>
      </c>
      <c r="G834">
        <v>2</v>
      </c>
      <c r="H834">
        <v>320</v>
      </c>
      <c r="I834">
        <v>4</v>
      </c>
      <c r="J834">
        <v>50</v>
      </c>
      <c r="K834">
        <f t="shared" si="84"/>
        <v>4.5999999999999996</v>
      </c>
      <c r="L834">
        <f t="shared" si="85"/>
        <v>46</v>
      </c>
      <c r="M834">
        <f t="shared" si="86"/>
        <v>80</v>
      </c>
      <c r="N834">
        <f t="shared" si="87"/>
        <v>50</v>
      </c>
      <c r="O834">
        <f t="shared" si="88"/>
        <v>57</v>
      </c>
      <c r="P834" t="str">
        <f t="shared" si="89"/>
        <v>Needs Improvement</v>
      </c>
      <c r="Q834" t="str">
        <f t="shared" si="90"/>
        <v>Medium</v>
      </c>
    </row>
    <row r="835" spans="1:17" x14ac:dyDescent="0.3">
      <c r="A835">
        <v>1834</v>
      </c>
      <c r="B835">
        <v>5</v>
      </c>
      <c r="C835">
        <v>3</v>
      </c>
      <c r="D835">
        <v>6</v>
      </c>
      <c r="E835">
        <v>10</v>
      </c>
      <c r="F835">
        <v>8</v>
      </c>
      <c r="G835">
        <v>0</v>
      </c>
      <c r="H835">
        <v>478</v>
      </c>
      <c r="I835">
        <v>1</v>
      </c>
      <c r="J835">
        <v>76</v>
      </c>
      <c r="K835">
        <f t="shared" ref="K835:K898" si="91">AVERAGE(B835:F835)</f>
        <v>6.4</v>
      </c>
      <c r="L835">
        <f t="shared" ref="L835:L898" si="92">K835*10</f>
        <v>64</v>
      </c>
      <c r="M835">
        <f t="shared" ref="M835:M898" si="93">IF(H835&gt;=400,100,IF(H835&gt;=250,80,IF(H835&gt;=150,60,40)))</f>
        <v>100</v>
      </c>
      <c r="N835">
        <f t="shared" ref="N835:N898" si="94">(G835*5)+(I835*10)</f>
        <v>10</v>
      </c>
      <c r="O835">
        <f t="shared" ref="O835:O898" si="95">ROUND((L835*0.4)+(M835*0.3)+(N835*0.3),0)</f>
        <v>59</v>
      </c>
      <c r="P835" t="str">
        <f t="shared" ref="P835:P898" si="96">IF(J835&gt;=75,"Placement Ready",IF(J835&gt;=50,"Needs Improvement","Not Ready"))</f>
        <v>Placement Ready</v>
      </c>
      <c r="Q835" t="str">
        <f t="shared" ref="Q835:Q898" si="97">IF(O835&lt;40,"Low",IF(O835&lt;=70,"Medium","High"))</f>
        <v>Medium</v>
      </c>
    </row>
    <row r="836" spans="1:17" x14ac:dyDescent="0.3">
      <c r="A836">
        <v>1835</v>
      </c>
      <c r="B836">
        <v>8</v>
      </c>
      <c r="C836">
        <v>4</v>
      </c>
      <c r="D836">
        <v>3</v>
      </c>
      <c r="E836">
        <v>3</v>
      </c>
      <c r="F836">
        <v>6</v>
      </c>
      <c r="G836">
        <v>3</v>
      </c>
      <c r="H836">
        <v>386</v>
      </c>
      <c r="I836">
        <v>3</v>
      </c>
      <c r="J836">
        <v>88</v>
      </c>
      <c r="K836">
        <f t="shared" si="91"/>
        <v>4.8</v>
      </c>
      <c r="L836">
        <f t="shared" si="92"/>
        <v>48</v>
      </c>
      <c r="M836">
        <f t="shared" si="93"/>
        <v>80</v>
      </c>
      <c r="N836">
        <f t="shared" si="94"/>
        <v>45</v>
      </c>
      <c r="O836">
        <f t="shared" si="95"/>
        <v>57</v>
      </c>
      <c r="P836" t="str">
        <f t="shared" si="96"/>
        <v>Placement Ready</v>
      </c>
      <c r="Q836" t="str">
        <f t="shared" si="97"/>
        <v>Medium</v>
      </c>
    </row>
    <row r="837" spans="1:17" x14ac:dyDescent="0.3">
      <c r="A837">
        <v>1836</v>
      </c>
      <c r="B837">
        <v>3</v>
      </c>
      <c r="C837">
        <v>8</v>
      </c>
      <c r="D837">
        <v>6</v>
      </c>
      <c r="E837">
        <v>1</v>
      </c>
      <c r="F837">
        <v>2</v>
      </c>
      <c r="G837">
        <v>6</v>
      </c>
      <c r="H837">
        <v>137</v>
      </c>
      <c r="I837">
        <v>0</v>
      </c>
      <c r="J837">
        <v>73</v>
      </c>
      <c r="K837">
        <f t="shared" si="91"/>
        <v>4</v>
      </c>
      <c r="L837">
        <f t="shared" si="92"/>
        <v>40</v>
      </c>
      <c r="M837">
        <f t="shared" si="93"/>
        <v>40</v>
      </c>
      <c r="N837">
        <f t="shared" si="94"/>
        <v>30</v>
      </c>
      <c r="O837">
        <f t="shared" si="95"/>
        <v>37</v>
      </c>
      <c r="P837" t="str">
        <f t="shared" si="96"/>
        <v>Needs Improvement</v>
      </c>
      <c r="Q837" t="str">
        <f t="shared" si="97"/>
        <v>Low</v>
      </c>
    </row>
    <row r="838" spans="1:17" x14ac:dyDescent="0.3">
      <c r="A838">
        <v>1837</v>
      </c>
      <c r="B838">
        <v>9</v>
      </c>
      <c r="C838">
        <v>9</v>
      </c>
      <c r="D838">
        <v>5</v>
      </c>
      <c r="E838">
        <v>10</v>
      </c>
      <c r="F838">
        <v>2</v>
      </c>
      <c r="G838">
        <v>8</v>
      </c>
      <c r="H838">
        <v>181</v>
      </c>
      <c r="I838">
        <v>2</v>
      </c>
      <c r="J838">
        <v>53</v>
      </c>
      <c r="K838">
        <f t="shared" si="91"/>
        <v>7</v>
      </c>
      <c r="L838">
        <f t="shared" si="92"/>
        <v>70</v>
      </c>
      <c r="M838">
        <f t="shared" si="93"/>
        <v>60</v>
      </c>
      <c r="N838">
        <f t="shared" si="94"/>
        <v>60</v>
      </c>
      <c r="O838">
        <f t="shared" si="95"/>
        <v>64</v>
      </c>
      <c r="P838" t="str">
        <f t="shared" si="96"/>
        <v>Needs Improvement</v>
      </c>
      <c r="Q838" t="str">
        <f t="shared" si="97"/>
        <v>Medium</v>
      </c>
    </row>
    <row r="839" spans="1:17" x14ac:dyDescent="0.3">
      <c r="A839">
        <v>1838</v>
      </c>
      <c r="B839">
        <v>2</v>
      </c>
      <c r="C839">
        <v>9</v>
      </c>
      <c r="D839">
        <v>3</v>
      </c>
      <c r="E839">
        <v>9</v>
      </c>
      <c r="F839">
        <v>1</v>
      </c>
      <c r="G839">
        <v>5</v>
      </c>
      <c r="H839">
        <v>485</v>
      </c>
      <c r="I839">
        <v>3</v>
      </c>
      <c r="J839">
        <v>73</v>
      </c>
      <c r="K839">
        <f t="shared" si="91"/>
        <v>4.8</v>
      </c>
      <c r="L839">
        <f t="shared" si="92"/>
        <v>48</v>
      </c>
      <c r="M839">
        <f t="shared" si="93"/>
        <v>100</v>
      </c>
      <c r="N839">
        <f t="shared" si="94"/>
        <v>55</v>
      </c>
      <c r="O839">
        <f t="shared" si="95"/>
        <v>66</v>
      </c>
      <c r="P839" t="str">
        <f t="shared" si="96"/>
        <v>Needs Improvement</v>
      </c>
      <c r="Q839" t="str">
        <f t="shared" si="97"/>
        <v>Medium</v>
      </c>
    </row>
    <row r="840" spans="1:17" x14ac:dyDescent="0.3">
      <c r="A840">
        <v>1839</v>
      </c>
      <c r="B840">
        <v>5</v>
      </c>
      <c r="C840">
        <v>2</v>
      </c>
      <c r="D840">
        <v>10</v>
      </c>
      <c r="E840">
        <v>2</v>
      </c>
      <c r="F840">
        <v>7</v>
      </c>
      <c r="G840">
        <v>6</v>
      </c>
      <c r="H840">
        <v>222</v>
      </c>
      <c r="I840">
        <v>4</v>
      </c>
      <c r="J840">
        <v>57</v>
      </c>
      <c r="K840">
        <f t="shared" si="91"/>
        <v>5.2</v>
      </c>
      <c r="L840">
        <f t="shared" si="92"/>
        <v>52</v>
      </c>
      <c r="M840">
        <f t="shared" si="93"/>
        <v>60</v>
      </c>
      <c r="N840">
        <f t="shared" si="94"/>
        <v>70</v>
      </c>
      <c r="O840">
        <f t="shared" si="95"/>
        <v>60</v>
      </c>
      <c r="P840" t="str">
        <f t="shared" si="96"/>
        <v>Needs Improvement</v>
      </c>
      <c r="Q840" t="str">
        <f t="shared" si="97"/>
        <v>Medium</v>
      </c>
    </row>
    <row r="841" spans="1:17" x14ac:dyDescent="0.3">
      <c r="A841">
        <v>1840</v>
      </c>
      <c r="B841">
        <v>3</v>
      </c>
      <c r="C841">
        <v>6</v>
      </c>
      <c r="D841">
        <v>5</v>
      </c>
      <c r="E841">
        <v>5</v>
      </c>
      <c r="F841">
        <v>5</v>
      </c>
      <c r="G841">
        <v>8</v>
      </c>
      <c r="H841">
        <v>219</v>
      </c>
      <c r="I841">
        <v>4</v>
      </c>
      <c r="J841">
        <v>84</v>
      </c>
      <c r="K841">
        <f t="shared" si="91"/>
        <v>4.8</v>
      </c>
      <c r="L841">
        <f t="shared" si="92"/>
        <v>48</v>
      </c>
      <c r="M841">
        <f t="shared" si="93"/>
        <v>60</v>
      </c>
      <c r="N841">
        <f t="shared" si="94"/>
        <v>80</v>
      </c>
      <c r="O841">
        <f t="shared" si="95"/>
        <v>61</v>
      </c>
      <c r="P841" t="str">
        <f t="shared" si="96"/>
        <v>Placement Ready</v>
      </c>
      <c r="Q841" t="str">
        <f t="shared" si="97"/>
        <v>Medium</v>
      </c>
    </row>
    <row r="842" spans="1:17" x14ac:dyDescent="0.3">
      <c r="A842">
        <v>1841</v>
      </c>
      <c r="B842">
        <v>2</v>
      </c>
      <c r="C842">
        <v>1</v>
      </c>
      <c r="D842">
        <v>7</v>
      </c>
      <c r="E842">
        <v>2</v>
      </c>
      <c r="F842">
        <v>7</v>
      </c>
      <c r="G842">
        <v>5</v>
      </c>
      <c r="H842">
        <v>268</v>
      </c>
      <c r="I842">
        <v>3</v>
      </c>
      <c r="J842">
        <v>57</v>
      </c>
      <c r="K842">
        <f t="shared" si="91"/>
        <v>3.8</v>
      </c>
      <c r="L842">
        <f t="shared" si="92"/>
        <v>38</v>
      </c>
      <c r="M842">
        <f t="shared" si="93"/>
        <v>80</v>
      </c>
      <c r="N842">
        <f t="shared" si="94"/>
        <v>55</v>
      </c>
      <c r="O842">
        <f t="shared" si="95"/>
        <v>56</v>
      </c>
      <c r="P842" t="str">
        <f t="shared" si="96"/>
        <v>Needs Improvement</v>
      </c>
      <c r="Q842" t="str">
        <f t="shared" si="97"/>
        <v>Medium</v>
      </c>
    </row>
    <row r="843" spans="1:17" x14ac:dyDescent="0.3">
      <c r="A843">
        <v>1842</v>
      </c>
      <c r="B843">
        <v>5</v>
      </c>
      <c r="C843">
        <v>2</v>
      </c>
      <c r="D843">
        <v>3</v>
      </c>
      <c r="E843">
        <v>2</v>
      </c>
      <c r="F843">
        <v>7</v>
      </c>
      <c r="G843">
        <v>0</v>
      </c>
      <c r="H843">
        <v>184</v>
      </c>
      <c r="I843">
        <v>5</v>
      </c>
      <c r="J843">
        <v>45</v>
      </c>
      <c r="K843">
        <f t="shared" si="91"/>
        <v>3.8</v>
      </c>
      <c r="L843">
        <f t="shared" si="92"/>
        <v>38</v>
      </c>
      <c r="M843">
        <f t="shared" si="93"/>
        <v>60</v>
      </c>
      <c r="N843">
        <f t="shared" si="94"/>
        <v>50</v>
      </c>
      <c r="O843">
        <f t="shared" si="95"/>
        <v>48</v>
      </c>
      <c r="P843" t="str">
        <f t="shared" si="96"/>
        <v>Not Ready</v>
      </c>
      <c r="Q843" t="str">
        <f t="shared" si="97"/>
        <v>Medium</v>
      </c>
    </row>
    <row r="844" spans="1:17" x14ac:dyDescent="0.3">
      <c r="A844">
        <v>1843</v>
      </c>
      <c r="B844">
        <v>4</v>
      </c>
      <c r="C844">
        <v>6</v>
      </c>
      <c r="D844">
        <v>5</v>
      </c>
      <c r="E844">
        <v>6</v>
      </c>
      <c r="F844">
        <v>6</v>
      </c>
      <c r="G844">
        <v>1</v>
      </c>
      <c r="H844">
        <v>62</v>
      </c>
      <c r="I844">
        <v>4</v>
      </c>
      <c r="J844">
        <v>42</v>
      </c>
      <c r="K844">
        <f t="shared" si="91"/>
        <v>5.4</v>
      </c>
      <c r="L844">
        <f t="shared" si="92"/>
        <v>54</v>
      </c>
      <c r="M844">
        <f t="shared" si="93"/>
        <v>40</v>
      </c>
      <c r="N844">
        <f t="shared" si="94"/>
        <v>45</v>
      </c>
      <c r="O844">
        <f t="shared" si="95"/>
        <v>47</v>
      </c>
      <c r="P844" t="str">
        <f t="shared" si="96"/>
        <v>Not Ready</v>
      </c>
      <c r="Q844" t="str">
        <f t="shared" si="97"/>
        <v>Medium</v>
      </c>
    </row>
    <row r="845" spans="1:17" x14ac:dyDescent="0.3">
      <c r="A845">
        <v>1844</v>
      </c>
      <c r="B845">
        <v>10</v>
      </c>
      <c r="C845">
        <v>7</v>
      </c>
      <c r="D845">
        <v>8</v>
      </c>
      <c r="E845">
        <v>2</v>
      </c>
      <c r="F845">
        <v>7</v>
      </c>
      <c r="G845">
        <v>6</v>
      </c>
      <c r="H845">
        <v>131</v>
      </c>
      <c r="I845">
        <v>4</v>
      </c>
      <c r="J845">
        <v>88</v>
      </c>
      <c r="K845">
        <f t="shared" si="91"/>
        <v>6.8</v>
      </c>
      <c r="L845">
        <f t="shared" si="92"/>
        <v>68</v>
      </c>
      <c r="M845">
        <f t="shared" si="93"/>
        <v>40</v>
      </c>
      <c r="N845">
        <f t="shared" si="94"/>
        <v>70</v>
      </c>
      <c r="O845">
        <f t="shared" si="95"/>
        <v>60</v>
      </c>
      <c r="P845" t="str">
        <f t="shared" si="96"/>
        <v>Placement Ready</v>
      </c>
      <c r="Q845" t="str">
        <f t="shared" si="97"/>
        <v>Medium</v>
      </c>
    </row>
    <row r="846" spans="1:17" x14ac:dyDescent="0.3">
      <c r="A846">
        <v>1845</v>
      </c>
      <c r="B846">
        <v>5</v>
      </c>
      <c r="C846">
        <v>2</v>
      </c>
      <c r="D846">
        <v>1</v>
      </c>
      <c r="E846">
        <v>9</v>
      </c>
      <c r="F846">
        <v>1</v>
      </c>
      <c r="G846">
        <v>1</v>
      </c>
      <c r="H846">
        <v>373</v>
      </c>
      <c r="I846">
        <v>2</v>
      </c>
      <c r="J846">
        <v>53</v>
      </c>
      <c r="K846">
        <f t="shared" si="91"/>
        <v>3.6</v>
      </c>
      <c r="L846">
        <f t="shared" si="92"/>
        <v>36</v>
      </c>
      <c r="M846">
        <f t="shared" si="93"/>
        <v>80</v>
      </c>
      <c r="N846">
        <f t="shared" si="94"/>
        <v>25</v>
      </c>
      <c r="O846">
        <f t="shared" si="95"/>
        <v>46</v>
      </c>
      <c r="P846" t="str">
        <f t="shared" si="96"/>
        <v>Needs Improvement</v>
      </c>
      <c r="Q846" t="str">
        <f t="shared" si="97"/>
        <v>Medium</v>
      </c>
    </row>
    <row r="847" spans="1:17" x14ac:dyDescent="0.3">
      <c r="A847">
        <v>1846</v>
      </c>
      <c r="B847">
        <v>6</v>
      </c>
      <c r="C847">
        <v>9</v>
      </c>
      <c r="D847">
        <v>3</v>
      </c>
      <c r="E847">
        <v>10</v>
      </c>
      <c r="F847">
        <v>4</v>
      </c>
      <c r="G847">
        <v>3</v>
      </c>
      <c r="H847">
        <v>490</v>
      </c>
      <c r="I847">
        <v>2</v>
      </c>
      <c r="J847">
        <v>41</v>
      </c>
      <c r="K847">
        <f t="shared" si="91"/>
        <v>6.4</v>
      </c>
      <c r="L847">
        <f t="shared" si="92"/>
        <v>64</v>
      </c>
      <c r="M847">
        <f t="shared" si="93"/>
        <v>100</v>
      </c>
      <c r="N847">
        <f t="shared" si="94"/>
        <v>35</v>
      </c>
      <c r="O847">
        <f t="shared" si="95"/>
        <v>66</v>
      </c>
      <c r="P847" t="str">
        <f t="shared" si="96"/>
        <v>Not Ready</v>
      </c>
      <c r="Q847" t="str">
        <f t="shared" si="97"/>
        <v>Medium</v>
      </c>
    </row>
    <row r="848" spans="1:17" x14ac:dyDescent="0.3">
      <c r="A848">
        <v>1847</v>
      </c>
      <c r="B848">
        <v>2</v>
      </c>
      <c r="C848">
        <v>2</v>
      </c>
      <c r="D848">
        <v>1</v>
      </c>
      <c r="E848">
        <v>3</v>
      </c>
      <c r="F848">
        <v>8</v>
      </c>
      <c r="G848">
        <v>2</v>
      </c>
      <c r="H848">
        <v>437</v>
      </c>
      <c r="I848">
        <v>1</v>
      </c>
      <c r="J848">
        <v>53</v>
      </c>
      <c r="K848">
        <f t="shared" si="91"/>
        <v>3.2</v>
      </c>
      <c r="L848">
        <f t="shared" si="92"/>
        <v>32</v>
      </c>
      <c r="M848">
        <f t="shared" si="93"/>
        <v>100</v>
      </c>
      <c r="N848">
        <f t="shared" si="94"/>
        <v>20</v>
      </c>
      <c r="O848">
        <f t="shared" si="95"/>
        <v>49</v>
      </c>
      <c r="P848" t="str">
        <f t="shared" si="96"/>
        <v>Needs Improvement</v>
      </c>
      <c r="Q848" t="str">
        <f t="shared" si="97"/>
        <v>Medium</v>
      </c>
    </row>
    <row r="849" spans="1:17" x14ac:dyDescent="0.3">
      <c r="A849">
        <v>1848</v>
      </c>
      <c r="B849">
        <v>6</v>
      </c>
      <c r="C849">
        <v>5</v>
      </c>
      <c r="D849">
        <v>10</v>
      </c>
      <c r="E849">
        <v>3</v>
      </c>
      <c r="F849">
        <v>3</v>
      </c>
      <c r="G849">
        <v>7</v>
      </c>
      <c r="H849">
        <v>337</v>
      </c>
      <c r="I849">
        <v>3</v>
      </c>
      <c r="J849">
        <v>65</v>
      </c>
      <c r="K849">
        <f t="shared" si="91"/>
        <v>5.4</v>
      </c>
      <c r="L849">
        <f t="shared" si="92"/>
        <v>54</v>
      </c>
      <c r="M849">
        <f t="shared" si="93"/>
        <v>80</v>
      </c>
      <c r="N849">
        <f t="shared" si="94"/>
        <v>65</v>
      </c>
      <c r="O849">
        <f t="shared" si="95"/>
        <v>65</v>
      </c>
      <c r="P849" t="str">
        <f t="shared" si="96"/>
        <v>Needs Improvement</v>
      </c>
      <c r="Q849" t="str">
        <f t="shared" si="97"/>
        <v>Medium</v>
      </c>
    </row>
    <row r="850" spans="1:17" x14ac:dyDescent="0.3">
      <c r="A850">
        <v>1849</v>
      </c>
      <c r="B850">
        <v>4</v>
      </c>
      <c r="C850">
        <v>3</v>
      </c>
      <c r="D850">
        <v>1</v>
      </c>
      <c r="E850">
        <v>8</v>
      </c>
      <c r="F850">
        <v>7</v>
      </c>
      <c r="G850">
        <v>1</v>
      </c>
      <c r="H850">
        <v>288</v>
      </c>
      <c r="I850">
        <v>0</v>
      </c>
      <c r="J850">
        <v>53</v>
      </c>
      <c r="K850">
        <f t="shared" si="91"/>
        <v>4.5999999999999996</v>
      </c>
      <c r="L850">
        <f t="shared" si="92"/>
        <v>46</v>
      </c>
      <c r="M850">
        <f t="shared" si="93"/>
        <v>80</v>
      </c>
      <c r="N850">
        <f t="shared" si="94"/>
        <v>5</v>
      </c>
      <c r="O850">
        <f t="shared" si="95"/>
        <v>44</v>
      </c>
      <c r="P850" t="str">
        <f t="shared" si="96"/>
        <v>Needs Improvement</v>
      </c>
      <c r="Q850" t="str">
        <f t="shared" si="97"/>
        <v>Medium</v>
      </c>
    </row>
    <row r="851" spans="1:17" x14ac:dyDescent="0.3">
      <c r="A851">
        <v>1850</v>
      </c>
      <c r="B851">
        <v>10</v>
      </c>
      <c r="C851">
        <v>10</v>
      </c>
      <c r="D851">
        <v>7</v>
      </c>
      <c r="E851">
        <v>8</v>
      </c>
      <c r="F851">
        <v>10</v>
      </c>
      <c r="G851">
        <v>2</v>
      </c>
      <c r="H851">
        <v>436</v>
      </c>
      <c r="I851">
        <v>5</v>
      </c>
      <c r="J851">
        <v>73</v>
      </c>
      <c r="K851">
        <f t="shared" si="91"/>
        <v>9</v>
      </c>
      <c r="L851">
        <f t="shared" si="92"/>
        <v>90</v>
      </c>
      <c r="M851">
        <f t="shared" si="93"/>
        <v>100</v>
      </c>
      <c r="N851">
        <f t="shared" si="94"/>
        <v>60</v>
      </c>
      <c r="O851">
        <f t="shared" si="95"/>
        <v>84</v>
      </c>
      <c r="P851" t="str">
        <f t="shared" si="96"/>
        <v>Needs Improvement</v>
      </c>
      <c r="Q851" t="str">
        <f t="shared" si="97"/>
        <v>High</v>
      </c>
    </row>
    <row r="852" spans="1:17" x14ac:dyDescent="0.3">
      <c r="A852">
        <v>1851</v>
      </c>
      <c r="B852">
        <v>3</v>
      </c>
      <c r="C852">
        <v>6</v>
      </c>
      <c r="D852">
        <v>7</v>
      </c>
      <c r="E852">
        <v>4</v>
      </c>
      <c r="F852">
        <v>1</v>
      </c>
      <c r="G852">
        <v>4</v>
      </c>
      <c r="H852">
        <v>162</v>
      </c>
      <c r="I852">
        <v>0</v>
      </c>
      <c r="J852">
        <v>50</v>
      </c>
      <c r="K852">
        <f t="shared" si="91"/>
        <v>4.2</v>
      </c>
      <c r="L852">
        <f t="shared" si="92"/>
        <v>42</v>
      </c>
      <c r="M852">
        <f t="shared" si="93"/>
        <v>60</v>
      </c>
      <c r="N852">
        <f t="shared" si="94"/>
        <v>20</v>
      </c>
      <c r="O852">
        <f t="shared" si="95"/>
        <v>41</v>
      </c>
      <c r="P852" t="str">
        <f t="shared" si="96"/>
        <v>Needs Improvement</v>
      </c>
      <c r="Q852" t="str">
        <f t="shared" si="97"/>
        <v>Medium</v>
      </c>
    </row>
    <row r="853" spans="1:17" x14ac:dyDescent="0.3">
      <c r="A853">
        <v>1852</v>
      </c>
      <c r="B853">
        <v>9</v>
      </c>
      <c r="C853">
        <v>6</v>
      </c>
      <c r="D853">
        <v>8</v>
      </c>
      <c r="E853">
        <v>6</v>
      </c>
      <c r="F853">
        <v>10</v>
      </c>
      <c r="G853">
        <v>5</v>
      </c>
      <c r="H853">
        <v>195</v>
      </c>
      <c r="I853">
        <v>2</v>
      </c>
      <c r="J853">
        <v>93</v>
      </c>
      <c r="K853">
        <f t="shared" si="91"/>
        <v>7.8</v>
      </c>
      <c r="L853">
        <f t="shared" si="92"/>
        <v>78</v>
      </c>
      <c r="M853">
        <f t="shared" si="93"/>
        <v>60</v>
      </c>
      <c r="N853">
        <f t="shared" si="94"/>
        <v>45</v>
      </c>
      <c r="O853">
        <f t="shared" si="95"/>
        <v>63</v>
      </c>
      <c r="P853" t="str">
        <f t="shared" si="96"/>
        <v>Placement Ready</v>
      </c>
      <c r="Q853" t="str">
        <f t="shared" si="97"/>
        <v>Medium</v>
      </c>
    </row>
    <row r="854" spans="1:17" x14ac:dyDescent="0.3">
      <c r="A854">
        <v>1853</v>
      </c>
      <c r="B854">
        <v>10</v>
      </c>
      <c r="C854">
        <v>4</v>
      </c>
      <c r="D854">
        <v>8</v>
      </c>
      <c r="E854">
        <v>8</v>
      </c>
      <c r="F854">
        <v>3</v>
      </c>
      <c r="G854">
        <v>8</v>
      </c>
      <c r="H854">
        <v>84</v>
      </c>
      <c r="I854">
        <v>3</v>
      </c>
      <c r="J854">
        <v>42</v>
      </c>
      <c r="K854">
        <f t="shared" si="91"/>
        <v>6.6</v>
      </c>
      <c r="L854">
        <f t="shared" si="92"/>
        <v>66</v>
      </c>
      <c r="M854">
        <f t="shared" si="93"/>
        <v>40</v>
      </c>
      <c r="N854">
        <f t="shared" si="94"/>
        <v>70</v>
      </c>
      <c r="O854">
        <f t="shared" si="95"/>
        <v>59</v>
      </c>
      <c r="P854" t="str">
        <f t="shared" si="96"/>
        <v>Not Ready</v>
      </c>
      <c r="Q854" t="str">
        <f t="shared" si="97"/>
        <v>Medium</v>
      </c>
    </row>
    <row r="855" spans="1:17" x14ac:dyDescent="0.3">
      <c r="A855">
        <v>1854</v>
      </c>
      <c r="B855">
        <v>6</v>
      </c>
      <c r="C855">
        <v>10</v>
      </c>
      <c r="D855">
        <v>7</v>
      </c>
      <c r="E855">
        <v>7</v>
      </c>
      <c r="F855">
        <v>1</v>
      </c>
      <c r="G855">
        <v>3</v>
      </c>
      <c r="H855">
        <v>370</v>
      </c>
      <c r="I855">
        <v>4</v>
      </c>
      <c r="J855">
        <v>47</v>
      </c>
      <c r="K855">
        <f t="shared" si="91"/>
        <v>6.2</v>
      </c>
      <c r="L855">
        <f t="shared" si="92"/>
        <v>62</v>
      </c>
      <c r="M855">
        <f t="shared" si="93"/>
        <v>80</v>
      </c>
      <c r="N855">
        <f t="shared" si="94"/>
        <v>55</v>
      </c>
      <c r="O855">
        <f t="shared" si="95"/>
        <v>65</v>
      </c>
      <c r="P855" t="str">
        <f t="shared" si="96"/>
        <v>Not Ready</v>
      </c>
      <c r="Q855" t="str">
        <f t="shared" si="97"/>
        <v>Medium</v>
      </c>
    </row>
    <row r="856" spans="1:17" x14ac:dyDescent="0.3">
      <c r="A856">
        <v>1855</v>
      </c>
      <c r="B856">
        <v>7</v>
      </c>
      <c r="C856">
        <v>5</v>
      </c>
      <c r="D856">
        <v>3</v>
      </c>
      <c r="E856">
        <v>6</v>
      </c>
      <c r="F856">
        <v>4</v>
      </c>
      <c r="G856">
        <v>3</v>
      </c>
      <c r="H856">
        <v>352</v>
      </c>
      <c r="I856">
        <v>1</v>
      </c>
      <c r="J856">
        <v>44</v>
      </c>
      <c r="K856">
        <f t="shared" si="91"/>
        <v>5</v>
      </c>
      <c r="L856">
        <f t="shared" si="92"/>
        <v>50</v>
      </c>
      <c r="M856">
        <f t="shared" si="93"/>
        <v>80</v>
      </c>
      <c r="N856">
        <f t="shared" si="94"/>
        <v>25</v>
      </c>
      <c r="O856">
        <f t="shared" si="95"/>
        <v>52</v>
      </c>
      <c r="P856" t="str">
        <f t="shared" si="96"/>
        <v>Not Ready</v>
      </c>
      <c r="Q856" t="str">
        <f t="shared" si="97"/>
        <v>Medium</v>
      </c>
    </row>
    <row r="857" spans="1:17" x14ac:dyDescent="0.3">
      <c r="A857">
        <v>1856</v>
      </c>
      <c r="B857">
        <v>1</v>
      </c>
      <c r="C857">
        <v>10</v>
      </c>
      <c r="D857">
        <v>7</v>
      </c>
      <c r="E857">
        <v>2</v>
      </c>
      <c r="F857">
        <v>4</v>
      </c>
      <c r="G857">
        <v>2</v>
      </c>
      <c r="H857">
        <v>462</v>
      </c>
      <c r="I857">
        <v>0</v>
      </c>
      <c r="J857">
        <v>95</v>
      </c>
      <c r="K857">
        <f t="shared" si="91"/>
        <v>4.8</v>
      </c>
      <c r="L857">
        <f t="shared" si="92"/>
        <v>48</v>
      </c>
      <c r="M857">
        <f t="shared" si="93"/>
        <v>100</v>
      </c>
      <c r="N857">
        <f t="shared" si="94"/>
        <v>10</v>
      </c>
      <c r="O857">
        <f t="shared" si="95"/>
        <v>52</v>
      </c>
      <c r="P857" t="str">
        <f t="shared" si="96"/>
        <v>Placement Ready</v>
      </c>
      <c r="Q857" t="str">
        <f t="shared" si="97"/>
        <v>Medium</v>
      </c>
    </row>
    <row r="858" spans="1:17" x14ac:dyDescent="0.3">
      <c r="A858">
        <v>1857</v>
      </c>
      <c r="B858">
        <v>6</v>
      </c>
      <c r="C858">
        <v>3</v>
      </c>
      <c r="D858">
        <v>9</v>
      </c>
      <c r="E858">
        <v>10</v>
      </c>
      <c r="F858">
        <v>3</v>
      </c>
      <c r="G858">
        <v>2</v>
      </c>
      <c r="H858">
        <v>92</v>
      </c>
      <c r="I858">
        <v>3</v>
      </c>
      <c r="J858">
        <v>83</v>
      </c>
      <c r="K858">
        <f t="shared" si="91"/>
        <v>6.2</v>
      </c>
      <c r="L858">
        <f t="shared" si="92"/>
        <v>62</v>
      </c>
      <c r="M858">
        <f t="shared" si="93"/>
        <v>40</v>
      </c>
      <c r="N858">
        <f t="shared" si="94"/>
        <v>40</v>
      </c>
      <c r="O858">
        <f t="shared" si="95"/>
        <v>49</v>
      </c>
      <c r="P858" t="str">
        <f t="shared" si="96"/>
        <v>Placement Ready</v>
      </c>
      <c r="Q858" t="str">
        <f t="shared" si="97"/>
        <v>Medium</v>
      </c>
    </row>
    <row r="859" spans="1:17" x14ac:dyDescent="0.3">
      <c r="A859">
        <v>1858</v>
      </c>
      <c r="B859">
        <v>10</v>
      </c>
      <c r="C859">
        <v>10</v>
      </c>
      <c r="D859">
        <v>4</v>
      </c>
      <c r="E859">
        <v>10</v>
      </c>
      <c r="F859">
        <v>5</v>
      </c>
      <c r="G859">
        <v>3</v>
      </c>
      <c r="H859">
        <v>152</v>
      </c>
      <c r="I859">
        <v>5</v>
      </c>
      <c r="J859">
        <v>78</v>
      </c>
      <c r="K859">
        <f t="shared" si="91"/>
        <v>7.8</v>
      </c>
      <c r="L859">
        <f t="shared" si="92"/>
        <v>78</v>
      </c>
      <c r="M859">
        <f t="shared" si="93"/>
        <v>60</v>
      </c>
      <c r="N859">
        <f t="shared" si="94"/>
        <v>65</v>
      </c>
      <c r="O859">
        <f t="shared" si="95"/>
        <v>69</v>
      </c>
      <c r="P859" t="str">
        <f t="shared" si="96"/>
        <v>Placement Ready</v>
      </c>
      <c r="Q859" t="str">
        <f t="shared" si="97"/>
        <v>Medium</v>
      </c>
    </row>
    <row r="860" spans="1:17" x14ac:dyDescent="0.3">
      <c r="A860">
        <v>1859</v>
      </c>
      <c r="B860">
        <v>8</v>
      </c>
      <c r="C860">
        <v>7</v>
      </c>
      <c r="D860">
        <v>10</v>
      </c>
      <c r="E860">
        <v>9</v>
      </c>
      <c r="F860">
        <v>4</v>
      </c>
      <c r="G860">
        <v>2</v>
      </c>
      <c r="H860">
        <v>273</v>
      </c>
      <c r="I860">
        <v>4</v>
      </c>
      <c r="J860">
        <v>89</v>
      </c>
      <c r="K860">
        <f t="shared" si="91"/>
        <v>7.6</v>
      </c>
      <c r="L860">
        <f t="shared" si="92"/>
        <v>76</v>
      </c>
      <c r="M860">
        <f t="shared" si="93"/>
        <v>80</v>
      </c>
      <c r="N860">
        <f t="shared" si="94"/>
        <v>50</v>
      </c>
      <c r="O860">
        <f t="shared" si="95"/>
        <v>69</v>
      </c>
      <c r="P860" t="str">
        <f t="shared" si="96"/>
        <v>Placement Ready</v>
      </c>
      <c r="Q860" t="str">
        <f t="shared" si="97"/>
        <v>Medium</v>
      </c>
    </row>
    <row r="861" spans="1:17" x14ac:dyDescent="0.3">
      <c r="A861">
        <v>1860</v>
      </c>
      <c r="B861">
        <v>4</v>
      </c>
      <c r="C861">
        <v>4</v>
      </c>
      <c r="D861">
        <v>6</v>
      </c>
      <c r="E861">
        <v>1</v>
      </c>
      <c r="F861">
        <v>2</v>
      </c>
      <c r="G861">
        <v>8</v>
      </c>
      <c r="H861">
        <v>119</v>
      </c>
      <c r="I861">
        <v>2</v>
      </c>
      <c r="J861">
        <v>48</v>
      </c>
      <c r="K861">
        <f t="shared" si="91"/>
        <v>3.4</v>
      </c>
      <c r="L861">
        <f t="shared" si="92"/>
        <v>34</v>
      </c>
      <c r="M861">
        <f t="shared" si="93"/>
        <v>40</v>
      </c>
      <c r="N861">
        <f t="shared" si="94"/>
        <v>60</v>
      </c>
      <c r="O861">
        <f t="shared" si="95"/>
        <v>44</v>
      </c>
      <c r="P861" t="str">
        <f t="shared" si="96"/>
        <v>Not Ready</v>
      </c>
      <c r="Q861" t="str">
        <f t="shared" si="97"/>
        <v>Medium</v>
      </c>
    </row>
    <row r="862" spans="1:17" x14ac:dyDescent="0.3">
      <c r="A862">
        <v>1861</v>
      </c>
      <c r="B862">
        <v>10</v>
      </c>
      <c r="C862">
        <v>10</v>
      </c>
      <c r="D862">
        <v>10</v>
      </c>
      <c r="E862">
        <v>10</v>
      </c>
      <c r="F862">
        <v>10</v>
      </c>
      <c r="G862">
        <v>4</v>
      </c>
      <c r="H862">
        <v>499</v>
      </c>
      <c r="I862">
        <v>5</v>
      </c>
      <c r="J862">
        <v>82</v>
      </c>
      <c r="K862">
        <f t="shared" si="91"/>
        <v>10</v>
      </c>
      <c r="L862">
        <f t="shared" si="92"/>
        <v>100</v>
      </c>
      <c r="M862">
        <f t="shared" si="93"/>
        <v>100</v>
      </c>
      <c r="N862">
        <f t="shared" si="94"/>
        <v>70</v>
      </c>
      <c r="O862">
        <f t="shared" si="95"/>
        <v>91</v>
      </c>
      <c r="P862" t="str">
        <f t="shared" si="96"/>
        <v>Placement Ready</v>
      </c>
      <c r="Q862" t="str">
        <f t="shared" si="97"/>
        <v>High</v>
      </c>
    </row>
    <row r="863" spans="1:17" x14ac:dyDescent="0.3">
      <c r="A863">
        <v>1862</v>
      </c>
      <c r="B863">
        <v>7</v>
      </c>
      <c r="C863">
        <v>6</v>
      </c>
      <c r="D863">
        <v>7</v>
      </c>
      <c r="E863">
        <v>6</v>
      </c>
      <c r="F863">
        <v>1</v>
      </c>
      <c r="G863">
        <v>0</v>
      </c>
      <c r="H863">
        <v>143</v>
      </c>
      <c r="I863">
        <v>2</v>
      </c>
      <c r="J863">
        <v>66</v>
      </c>
      <c r="K863">
        <f t="shared" si="91"/>
        <v>5.4</v>
      </c>
      <c r="L863">
        <f t="shared" si="92"/>
        <v>54</v>
      </c>
      <c r="M863">
        <f t="shared" si="93"/>
        <v>40</v>
      </c>
      <c r="N863">
        <f t="shared" si="94"/>
        <v>20</v>
      </c>
      <c r="O863">
        <f t="shared" si="95"/>
        <v>40</v>
      </c>
      <c r="P863" t="str">
        <f t="shared" si="96"/>
        <v>Needs Improvement</v>
      </c>
      <c r="Q863" t="str">
        <f t="shared" si="97"/>
        <v>Medium</v>
      </c>
    </row>
    <row r="864" spans="1:17" x14ac:dyDescent="0.3">
      <c r="A864">
        <v>1863</v>
      </c>
      <c r="B864">
        <v>4</v>
      </c>
      <c r="C864">
        <v>2</v>
      </c>
      <c r="D864">
        <v>10</v>
      </c>
      <c r="E864">
        <v>10</v>
      </c>
      <c r="F864">
        <v>10</v>
      </c>
      <c r="G864">
        <v>3</v>
      </c>
      <c r="H864">
        <v>320</v>
      </c>
      <c r="I864">
        <v>4</v>
      </c>
      <c r="J864">
        <v>76</v>
      </c>
      <c r="K864">
        <f t="shared" si="91"/>
        <v>7.2</v>
      </c>
      <c r="L864">
        <f t="shared" si="92"/>
        <v>72</v>
      </c>
      <c r="M864">
        <f t="shared" si="93"/>
        <v>80</v>
      </c>
      <c r="N864">
        <f t="shared" si="94"/>
        <v>55</v>
      </c>
      <c r="O864">
        <f t="shared" si="95"/>
        <v>69</v>
      </c>
      <c r="P864" t="str">
        <f t="shared" si="96"/>
        <v>Placement Ready</v>
      </c>
      <c r="Q864" t="str">
        <f t="shared" si="97"/>
        <v>Medium</v>
      </c>
    </row>
    <row r="865" spans="1:17" x14ac:dyDescent="0.3">
      <c r="A865">
        <v>1864</v>
      </c>
      <c r="B865">
        <v>3</v>
      </c>
      <c r="C865">
        <v>4</v>
      </c>
      <c r="D865">
        <v>9</v>
      </c>
      <c r="E865">
        <v>4</v>
      </c>
      <c r="F865">
        <v>8</v>
      </c>
      <c r="G865">
        <v>5</v>
      </c>
      <c r="H865">
        <v>87</v>
      </c>
      <c r="I865">
        <v>0</v>
      </c>
      <c r="J865">
        <v>87</v>
      </c>
      <c r="K865">
        <f t="shared" si="91"/>
        <v>5.6</v>
      </c>
      <c r="L865">
        <f t="shared" si="92"/>
        <v>56</v>
      </c>
      <c r="M865">
        <f t="shared" si="93"/>
        <v>40</v>
      </c>
      <c r="N865">
        <f t="shared" si="94"/>
        <v>25</v>
      </c>
      <c r="O865">
        <f t="shared" si="95"/>
        <v>42</v>
      </c>
      <c r="P865" t="str">
        <f t="shared" si="96"/>
        <v>Placement Ready</v>
      </c>
      <c r="Q865" t="str">
        <f t="shared" si="97"/>
        <v>Medium</v>
      </c>
    </row>
    <row r="866" spans="1:17" x14ac:dyDescent="0.3">
      <c r="A866">
        <v>1865</v>
      </c>
      <c r="B866">
        <v>9</v>
      </c>
      <c r="C866">
        <v>8</v>
      </c>
      <c r="D866">
        <v>9</v>
      </c>
      <c r="E866">
        <v>5</v>
      </c>
      <c r="F866">
        <v>6</v>
      </c>
      <c r="G866">
        <v>0</v>
      </c>
      <c r="H866">
        <v>261</v>
      </c>
      <c r="I866">
        <v>1</v>
      </c>
      <c r="J866">
        <v>81</v>
      </c>
      <c r="K866">
        <f t="shared" si="91"/>
        <v>7.4</v>
      </c>
      <c r="L866">
        <f t="shared" si="92"/>
        <v>74</v>
      </c>
      <c r="M866">
        <f t="shared" si="93"/>
        <v>80</v>
      </c>
      <c r="N866">
        <f t="shared" si="94"/>
        <v>10</v>
      </c>
      <c r="O866">
        <f t="shared" si="95"/>
        <v>57</v>
      </c>
      <c r="P866" t="str">
        <f t="shared" si="96"/>
        <v>Placement Ready</v>
      </c>
      <c r="Q866" t="str">
        <f t="shared" si="97"/>
        <v>Medium</v>
      </c>
    </row>
    <row r="867" spans="1:17" x14ac:dyDescent="0.3">
      <c r="A867">
        <v>1866</v>
      </c>
      <c r="B867">
        <v>3</v>
      </c>
      <c r="C867">
        <v>2</v>
      </c>
      <c r="D867">
        <v>7</v>
      </c>
      <c r="E867">
        <v>4</v>
      </c>
      <c r="F867">
        <v>7</v>
      </c>
      <c r="G867">
        <v>0</v>
      </c>
      <c r="H867">
        <v>87</v>
      </c>
      <c r="I867">
        <v>1</v>
      </c>
      <c r="J867">
        <v>60</v>
      </c>
      <c r="K867">
        <f t="shared" si="91"/>
        <v>4.5999999999999996</v>
      </c>
      <c r="L867">
        <f t="shared" si="92"/>
        <v>46</v>
      </c>
      <c r="M867">
        <f t="shared" si="93"/>
        <v>40</v>
      </c>
      <c r="N867">
        <f t="shared" si="94"/>
        <v>10</v>
      </c>
      <c r="O867">
        <f t="shared" si="95"/>
        <v>33</v>
      </c>
      <c r="P867" t="str">
        <f t="shared" si="96"/>
        <v>Needs Improvement</v>
      </c>
      <c r="Q867" t="str">
        <f t="shared" si="97"/>
        <v>Low</v>
      </c>
    </row>
    <row r="868" spans="1:17" x14ac:dyDescent="0.3">
      <c r="A868">
        <v>1867</v>
      </c>
      <c r="B868">
        <v>7</v>
      </c>
      <c r="C868">
        <v>8</v>
      </c>
      <c r="D868">
        <v>8</v>
      </c>
      <c r="E868">
        <v>3</v>
      </c>
      <c r="F868">
        <v>3</v>
      </c>
      <c r="G868">
        <v>8</v>
      </c>
      <c r="H868">
        <v>203</v>
      </c>
      <c r="I868">
        <v>3</v>
      </c>
      <c r="J868">
        <v>89</v>
      </c>
      <c r="K868">
        <f t="shared" si="91"/>
        <v>5.8</v>
      </c>
      <c r="L868">
        <f t="shared" si="92"/>
        <v>58</v>
      </c>
      <c r="M868">
        <f t="shared" si="93"/>
        <v>60</v>
      </c>
      <c r="N868">
        <f t="shared" si="94"/>
        <v>70</v>
      </c>
      <c r="O868">
        <f t="shared" si="95"/>
        <v>62</v>
      </c>
      <c r="P868" t="str">
        <f t="shared" si="96"/>
        <v>Placement Ready</v>
      </c>
      <c r="Q868" t="str">
        <f t="shared" si="97"/>
        <v>Medium</v>
      </c>
    </row>
    <row r="869" spans="1:17" x14ac:dyDescent="0.3">
      <c r="A869">
        <v>1868</v>
      </c>
      <c r="B869">
        <v>3</v>
      </c>
      <c r="C869">
        <v>8</v>
      </c>
      <c r="D869">
        <v>8</v>
      </c>
      <c r="E869">
        <v>1</v>
      </c>
      <c r="F869">
        <v>1</v>
      </c>
      <c r="G869">
        <v>3</v>
      </c>
      <c r="H869">
        <v>219</v>
      </c>
      <c r="I869">
        <v>1</v>
      </c>
      <c r="J869">
        <v>40</v>
      </c>
      <c r="K869">
        <f t="shared" si="91"/>
        <v>4.2</v>
      </c>
      <c r="L869">
        <f t="shared" si="92"/>
        <v>42</v>
      </c>
      <c r="M869">
        <f t="shared" si="93"/>
        <v>60</v>
      </c>
      <c r="N869">
        <f t="shared" si="94"/>
        <v>25</v>
      </c>
      <c r="O869">
        <f t="shared" si="95"/>
        <v>42</v>
      </c>
      <c r="P869" t="str">
        <f t="shared" si="96"/>
        <v>Not Ready</v>
      </c>
      <c r="Q869" t="str">
        <f t="shared" si="97"/>
        <v>Medium</v>
      </c>
    </row>
    <row r="870" spans="1:17" x14ac:dyDescent="0.3">
      <c r="A870">
        <v>1869</v>
      </c>
      <c r="B870">
        <v>4</v>
      </c>
      <c r="C870">
        <v>9</v>
      </c>
      <c r="D870">
        <v>1</v>
      </c>
      <c r="E870">
        <v>1</v>
      </c>
      <c r="F870">
        <v>5</v>
      </c>
      <c r="G870">
        <v>6</v>
      </c>
      <c r="H870">
        <v>171</v>
      </c>
      <c r="I870">
        <v>5</v>
      </c>
      <c r="J870">
        <v>52</v>
      </c>
      <c r="K870">
        <f t="shared" si="91"/>
        <v>4</v>
      </c>
      <c r="L870">
        <f t="shared" si="92"/>
        <v>40</v>
      </c>
      <c r="M870">
        <f t="shared" si="93"/>
        <v>60</v>
      </c>
      <c r="N870">
        <f t="shared" si="94"/>
        <v>80</v>
      </c>
      <c r="O870">
        <f t="shared" si="95"/>
        <v>58</v>
      </c>
      <c r="P870" t="str">
        <f t="shared" si="96"/>
        <v>Needs Improvement</v>
      </c>
      <c r="Q870" t="str">
        <f t="shared" si="97"/>
        <v>Medium</v>
      </c>
    </row>
    <row r="871" spans="1:17" x14ac:dyDescent="0.3">
      <c r="A871">
        <v>1870</v>
      </c>
      <c r="B871">
        <v>4</v>
      </c>
      <c r="C871">
        <v>10</v>
      </c>
      <c r="D871">
        <v>7</v>
      </c>
      <c r="E871">
        <v>1</v>
      </c>
      <c r="F871">
        <v>5</v>
      </c>
      <c r="G871">
        <v>2</v>
      </c>
      <c r="H871">
        <v>307</v>
      </c>
      <c r="I871">
        <v>2</v>
      </c>
      <c r="J871">
        <v>77</v>
      </c>
      <c r="K871">
        <f t="shared" si="91"/>
        <v>5.4</v>
      </c>
      <c r="L871">
        <f t="shared" si="92"/>
        <v>54</v>
      </c>
      <c r="M871">
        <f t="shared" si="93"/>
        <v>80</v>
      </c>
      <c r="N871">
        <f t="shared" si="94"/>
        <v>30</v>
      </c>
      <c r="O871">
        <f t="shared" si="95"/>
        <v>55</v>
      </c>
      <c r="P871" t="str">
        <f t="shared" si="96"/>
        <v>Placement Ready</v>
      </c>
      <c r="Q871" t="str">
        <f t="shared" si="97"/>
        <v>Medium</v>
      </c>
    </row>
    <row r="872" spans="1:17" x14ac:dyDescent="0.3">
      <c r="A872">
        <v>1871</v>
      </c>
      <c r="B872">
        <v>9</v>
      </c>
      <c r="C872">
        <v>6</v>
      </c>
      <c r="D872">
        <v>5</v>
      </c>
      <c r="E872">
        <v>3</v>
      </c>
      <c r="F872">
        <v>5</v>
      </c>
      <c r="G872">
        <v>8</v>
      </c>
      <c r="H872">
        <v>172</v>
      </c>
      <c r="I872">
        <v>2</v>
      </c>
      <c r="J872">
        <v>94</v>
      </c>
      <c r="K872">
        <f t="shared" si="91"/>
        <v>5.6</v>
      </c>
      <c r="L872">
        <f t="shared" si="92"/>
        <v>56</v>
      </c>
      <c r="M872">
        <f t="shared" si="93"/>
        <v>60</v>
      </c>
      <c r="N872">
        <f t="shared" si="94"/>
        <v>60</v>
      </c>
      <c r="O872">
        <f t="shared" si="95"/>
        <v>58</v>
      </c>
      <c r="P872" t="str">
        <f t="shared" si="96"/>
        <v>Placement Ready</v>
      </c>
      <c r="Q872" t="str">
        <f t="shared" si="97"/>
        <v>Medium</v>
      </c>
    </row>
    <row r="873" spans="1:17" x14ac:dyDescent="0.3">
      <c r="A873">
        <v>1872</v>
      </c>
      <c r="B873">
        <v>3</v>
      </c>
      <c r="C873">
        <v>3</v>
      </c>
      <c r="D873">
        <v>6</v>
      </c>
      <c r="E873">
        <v>6</v>
      </c>
      <c r="F873">
        <v>6</v>
      </c>
      <c r="G873">
        <v>7</v>
      </c>
      <c r="H873">
        <v>154</v>
      </c>
      <c r="I873">
        <v>4</v>
      </c>
      <c r="J873">
        <v>62</v>
      </c>
      <c r="K873">
        <f t="shared" si="91"/>
        <v>4.8</v>
      </c>
      <c r="L873">
        <f t="shared" si="92"/>
        <v>48</v>
      </c>
      <c r="M873">
        <f t="shared" si="93"/>
        <v>60</v>
      </c>
      <c r="N873">
        <f t="shared" si="94"/>
        <v>75</v>
      </c>
      <c r="O873">
        <f t="shared" si="95"/>
        <v>60</v>
      </c>
      <c r="P873" t="str">
        <f t="shared" si="96"/>
        <v>Needs Improvement</v>
      </c>
      <c r="Q873" t="str">
        <f t="shared" si="97"/>
        <v>Medium</v>
      </c>
    </row>
    <row r="874" spans="1:17" x14ac:dyDescent="0.3">
      <c r="A874">
        <v>1873</v>
      </c>
      <c r="B874">
        <v>10</v>
      </c>
      <c r="C874">
        <v>8</v>
      </c>
      <c r="D874">
        <v>2</v>
      </c>
      <c r="E874">
        <v>1</v>
      </c>
      <c r="F874">
        <v>7</v>
      </c>
      <c r="G874">
        <v>0</v>
      </c>
      <c r="H874">
        <v>291</v>
      </c>
      <c r="I874">
        <v>2</v>
      </c>
      <c r="J874">
        <v>91</v>
      </c>
      <c r="K874">
        <f t="shared" si="91"/>
        <v>5.6</v>
      </c>
      <c r="L874">
        <f t="shared" si="92"/>
        <v>56</v>
      </c>
      <c r="M874">
        <f t="shared" si="93"/>
        <v>80</v>
      </c>
      <c r="N874">
        <f t="shared" si="94"/>
        <v>20</v>
      </c>
      <c r="O874">
        <f t="shared" si="95"/>
        <v>52</v>
      </c>
      <c r="P874" t="str">
        <f t="shared" si="96"/>
        <v>Placement Ready</v>
      </c>
      <c r="Q874" t="str">
        <f t="shared" si="97"/>
        <v>Medium</v>
      </c>
    </row>
    <row r="875" spans="1:17" x14ac:dyDescent="0.3">
      <c r="A875">
        <v>1874</v>
      </c>
      <c r="B875">
        <v>4</v>
      </c>
      <c r="C875">
        <v>2</v>
      </c>
      <c r="D875">
        <v>10</v>
      </c>
      <c r="E875">
        <v>8</v>
      </c>
      <c r="F875">
        <v>3</v>
      </c>
      <c r="G875">
        <v>6</v>
      </c>
      <c r="H875">
        <v>251</v>
      </c>
      <c r="I875">
        <v>0</v>
      </c>
      <c r="J875">
        <v>80</v>
      </c>
      <c r="K875">
        <f t="shared" si="91"/>
        <v>5.4</v>
      </c>
      <c r="L875">
        <f t="shared" si="92"/>
        <v>54</v>
      </c>
      <c r="M875">
        <f t="shared" si="93"/>
        <v>80</v>
      </c>
      <c r="N875">
        <f t="shared" si="94"/>
        <v>30</v>
      </c>
      <c r="O875">
        <f t="shared" si="95"/>
        <v>55</v>
      </c>
      <c r="P875" t="str">
        <f t="shared" si="96"/>
        <v>Placement Ready</v>
      </c>
      <c r="Q875" t="str">
        <f t="shared" si="97"/>
        <v>Medium</v>
      </c>
    </row>
    <row r="876" spans="1:17" x14ac:dyDescent="0.3">
      <c r="A876">
        <v>1875</v>
      </c>
      <c r="B876">
        <v>5</v>
      </c>
      <c r="C876">
        <v>7</v>
      </c>
      <c r="D876">
        <v>2</v>
      </c>
      <c r="E876">
        <v>6</v>
      </c>
      <c r="F876">
        <v>1</v>
      </c>
      <c r="G876">
        <v>2</v>
      </c>
      <c r="H876">
        <v>145</v>
      </c>
      <c r="I876">
        <v>5</v>
      </c>
      <c r="J876">
        <v>68</v>
      </c>
      <c r="K876">
        <f t="shared" si="91"/>
        <v>4.2</v>
      </c>
      <c r="L876">
        <f t="shared" si="92"/>
        <v>42</v>
      </c>
      <c r="M876">
        <f t="shared" si="93"/>
        <v>40</v>
      </c>
      <c r="N876">
        <f t="shared" si="94"/>
        <v>60</v>
      </c>
      <c r="O876">
        <f t="shared" si="95"/>
        <v>47</v>
      </c>
      <c r="P876" t="str">
        <f t="shared" si="96"/>
        <v>Needs Improvement</v>
      </c>
      <c r="Q876" t="str">
        <f t="shared" si="97"/>
        <v>Medium</v>
      </c>
    </row>
    <row r="877" spans="1:17" x14ac:dyDescent="0.3">
      <c r="A877">
        <v>1876</v>
      </c>
      <c r="B877">
        <v>10</v>
      </c>
      <c r="C877">
        <v>4</v>
      </c>
      <c r="D877">
        <v>5</v>
      </c>
      <c r="E877">
        <v>3</v>
      </c>
      <c r="F877">
        <v>3</v>
      </c>
      <c r="G877">
        <v>2</v>
      </c>
      <c r="H877">
        <v>139</v>
      </c>
      <c r="I877">
        <v>3</v>
      </c>
      <c r="J877">
        <v>89</v>
      </c>
      <c r="K877">
        <f t="shared" si="91"/>
        <v>5</v>
      </c>
      <c r="L877">
        <f t="shared" si="92"/>
        <v>50</v>
      </c>
      <c r="M877">
        <f t="shared" si="93"/>
        <v>40</v>
      </c>
      <c r="N877">
        <f t="shared" si="94"/>
        <v>40</v>
      </c>
      <c r="O877">
        <f t="shared" si="95"/>
        <v>44</v>
      </c>
      <c r="P877" t="str">
        <f t="shared" si="96"/>
        <v>Placement Ready</v>
      </c>
      <c r="Q877" t="str">
        <f t="shared" si="97"/>
        <v>Medium</v>
      </c>
    </row>
    <row r="878" spans="1:17" x14ac:dyDescent="0.3">
      <c r="A878">
        <v>1877</v>
      </c>
      <c r="B878">
        <v>6</v>
      </c>
      <c r="C878">
        <v>10</v>
      </c>
      <c r="D878">
        <v>1</v>
      </c>
      <c r="E878">
        <v>9</v>
      </c>
      <c r="F878">
        <v>4</v>
      </c>
      <c r="G878">
        <v>8</v>
      </c>
      <c r="H878">
        <v>356</v>
      </c>
      <c r="I878">
        <v>3</v>
      </c>
      <c r="J878">
        <v>50</v>
      </c>
      <c r="K878">
        <f t="shared" si="91"/>
        <v>6</v>
      </c>
      <c r="L878">
        <f t="shared" si="92"/>
        <v>60</v>
      </c>
      <c r="M878">
        <f t="shared" si="93"/>
        <v>80</v>
      </c>
      <c r="N878">
        <f t="shared" si="94"/>
        <v>70</v>
      </c>
      <c r="O878">
        <f t="shared" si="95"/>
        <v>69</v>
      </c>
      <c r="P878" t="str">
        <f t="shared" si="96"/>
        <v>Needs Improvement</v>
      </c>
      <c r="Q878" t="str">
        <f t="shared" si="97"/>
        <v>Medium</v>
      </c>
    </row>
    <row r="879" spans="1:17" x14ac:dyDescent="0.3">
      <c r="A879">
        <v>1878</v>
      </c>
      <c r="B879">
        <v>3</v>
      </c>
      <c r="C879">
        <v>10</v>
      </c>
      <c r="D879">
        <v>10</v>
      </c>
      <c r="E879">
        <v>8</v>
      </c>
      <c r="F879">
        <v>6</v>
      </c>
      <c r="G879">
        <v>0</v>
      </c>
      <c r="H879">
        <v>153</v>
      </c>
      <c r="I879">
        <v>3</v>
      </c>
      <c r="J879">
        <v>90</v>
      </c>
      <c r="K879">
        <f t="shared" si="91"/>
        <v>7.4</v>
      </c>
      <c r="L879">
        <f t="shared" si="92"/>
        <v>74</v>
      </c>
      <c r="M879">
        <f t="shared" si="93"/>
        <v>60</v>
      </c>
      <c r="N879">
        <f t="shared" si="94"/>
        <v>30</v>
      </c>
      <c r="O879">
        <f t="shared" si="95"/>
        <v>57</v>
      </c>
      <c r="P879" t="str">
        <f t="shared" si="96"/>
        <v>Placement Ready</v>
      </c>
      <c r="Q879" t="str">
        <f t="shared" si="97"/>
        <v>Medium</v>
      </c>
    </row>
    <row r="880" spans="1:17" x14ac:dyDescent="0.3">
      <c r="A880">
        <v>1879</v>
      </c>
      <c r="B880">
        <v>8</v>
      </c>
      <c r="C880">
        <v>4</v>
      </c>
      <c r="D880">
        <v>9</v>
      </c>
      <c r="E880">
        <v>5</v>
      </c>
      <c r="F880">
        <v>9</v>
      </c>
      <c r="G880">
        <v>6</v>
      </c>
      <c r="H880">
        <v>394</v>
      </c>
      <c r="I880">
        <v>1</v>
      </c>
      <c r="J880">
        <v>82</v>
      </c>
      <c r="K880">
        <f t="shared" si="91"/>
        <v>7</v>
      </c>
      <c r="L880">
        <f t="shared" si="92"/>
        <v>70</v>
      </c>
      <c r="M880">
        <f t="shared" si="93"/>
        <v>80</v>
      </c>
      <c r="N880">
        <f t="shared" si="94"/>
        <v>40</v>
      </c>
      <c r="O880">
        <f t="shared" si="95"/>
        <v>64</v>
      </c>
      <c r="P880" t="str">
        <f t="shared" si="96"/>
        <v>Placement Ready</v>
      </c>
      <c r="Q880" t="str">
        <f t="shared" si="97"/>
        <v>Medium</v>
      </c>
    </row>
    <row r="881" spans="1:17" x14ac:dyDescent="0.3">
      <c r="A881">
        <v>1880</v>
      </c>
      <c r="B881">
        <v>1</v>
      </c>
      <c r="C881">
        <v>6</v>
      </c>
      <c r="D881">
        <v>8</v>
      </c>
      <c r="E881">
        <v>10</v>
      </c>
      <c r="F881">
        <v>7</v>
      </c>
      <c r="G881">
        <v>0</v>
      </c>
      <c r="H881">
        <v>422</v>
      </c>
      <c r="I881">
        <v>2</v>
      </c>
      <c r="J881">
        <v>54</v>
      </c>
      <c r="K881">
        <f t="shared" si="91"/>
        <v>6.4</v>
      </c>
      <c r="L881">
        <f t="shared" si="92"/>
        <v>64</v>
      </c>
      <c r="M881">
        <f t="shared" si="93"/>
        <v>100</v>
      </c>
      <c r="N881">
        <f t="shared" si="94"/>
        <v>20</v>
      </c>
      <c r="O881">
        <f t="shared" si="95"/>
        <v>62</v>
      </c>
      <c r="P881" t="str">
        <f t="shared" si="96"/>
        <v>Needs Improvement</v>
      </c>
      <c r="Q881" t="str">
        <f t="shared" si="97"/>
        <v>Medium</v>
      </c>
    </row>
    <row r="882" spans="1:17" x14ac:dyDescent="0.3">
      <c r="A882">
        <v>1881</v>
      </c>
      <c r="B882">
        <v>4</v>
      </c>
      <c r="C882">
        <v>1</v>
      </c>
      <c r="D882">
        <v>6</v>
      </c>
      <c r="E882">
        <v>6</v>
      </c>
      <c r="F882">
        <v>10</v>
      </c>
      <c r="G882">
        <v>1</v>
      </c>
      <c r="H882">
        <v>418</v>
      </c>
      <c r="I882">
        <v>5</v>
      </c>
      <c r="J882">
        <v>56</v>
      </c>
      <c r="K882">
        <f t="shared" si="91"/>
        <v>5.4</v>
      </c>
      <c r="L882">
        <f t="shared" si="92"/>
        <v>54</v>
      </c>
      <c r="M882">
        <f t="shared" si="93"/>
        <v>100</v>
      </c>
      <c r="N882">
        <f t="shared" si="94"/>
        <v>55</v>
      </c>
      <c r="O882">
        <f t="shared" si="95"/>
        <v>68</v>
      </c>
      <c r="P882" t="str">
        <f t="shared" si="96"/>
        <v>Needs Improvement</v>
      </c>
      <c r="Q882" t="str">
        <f t="shared" si="97"/>
        <v>Medium</v>
      </c>
    </row>
    <row r="883" spans="1:17" x14ac:dyDescent="0.3">
      <c r="A883">
        <v>1882</v>
      </c>
      <c r="B883">
        <v>2</v>
      </c>
      <c r="C883">
        <v>9</v>
      </c>
      <c r="D883">
        <v>2</v>
      </c>
      <c r="E883">
        <v>3</v>
      </c>
      <c r="F883">
        <v>1</v>
      </c>
      <c r="G883">
        <v>2</v>
      </c>
      <c r="H883">
        <v>214</v>
      </c>
      <c r="I883">
        <v>5</v>
      </c>
      <c r="J883">
        <v>62</v>
      </c>
      <c r="K883">
        <f t="shared" si="91"/>
        <v>3.4</v>
      </c>
      <c r="L883">
        <f t="shared" si="92"/>
        <v>34</v>
      </c>
      <c r="M883">
        <f t="shared" si="93"/>
        <v>60</v>
      </c>
      <c r="N883">
        <f t="shared" si="94"/>
        <v>60</v>
      </c>
      <c r="O883">
        <f t="shared" si="95"/>
        <v>50</v>
      </c>
      <c r="P883" t="str">
        <f t="shared" si="96"/>
        <v>Needs Improvement</v>
      </c>
      <c r="Q883" t="str">
        <f t="shared" si="97"/>
        <v>Medium</v>
      </c>
    </row>
    <row r="884" spans="1:17" x14ac:dyDescent="0.3">
      <c r="A884">
        <v>1883</v>
      </c>
      <c r="B884">
        <v>9</v>
      </c>
      <c r="C884">
        <v>2</v>
      </c>
      <c r="D884">
        <v>9</v>
      </c>
      <c r="E884">
        <v>10</v>
      </c>
      <c r="F884">
        <v>8</v>
      </c>
      <c r="G884">
        <v>6</v>
      </c>
      <c r="H884">
        <v>194</v>
      </c>
      <c r="I884">
        <v>2</v>
      </c>
      <c r="J884">
        <v>79</v>
      </c>
      <c r="K884">
        <f t="shared" si="91"/>
        <v>7.6</v>
      </c>
      <c r="L884">
        <f t="shared" si="92"/>
        <v>76</v>
      </c>
      <c r="M884">
        <f t="shared" si="93"/>
        <v>60</v>
      </c>
      <c r="N884">
        <f t="shared" si="94"/>
        <v>50</v>
      </c>
      <c r="O884">
        <f t="shared" si="95"/>
        <v>63</v>
      </c>
      <c r="P884" t="str">
        <f t="shared" si="96"/>
        <v>Placement Ready</v>
      </c>
      <c r="Q884" t="str">
        <f t="shared" si="97"/>
        <v>Medium</v>
      </c>
    </row>
    <row r="885" spans="1:17" x14ac:dyDescent="0.3">
      <c r="A885">
        <v>1884</v>
      </c>
      <c r="B885">
        <v>9</v>
      </c>
      <c r="C885">
        <v>6</v>
      </c>
      <c r="D885">
        <v>7</v>
      </c>
      <c r="E885">
        <v>10</v>
      </c>
      <c r="F885">
        <v>9</v>
      </c>
      <c r="G885">
        <v>6</v>
      </c>
      <c r="H885">
        <v>280</v>
      </c>
      <c r="I885">
        <v>5</v>
      </c>
      <c r="J885">
        <v>66</v>
      </c>
      <c r="K885">
        <f t="shared" si="91"/>
        <v>8.1999999999999993</v>
      </c>
      <c r="L885">
        <f t="shared" si="92"/>
        <v>82</v>
      </c>
      <c r="M885">
        <f t="shared" si="93"/>
        <v>80</v>
      </c>
      <c r="N885">
        <f t="shared" si="94"/>
        <v>80</v>
      </c>
      <c r="O885">
        <f t="shared" si="95"/>
        <v>81</v>
      </c>
      <c r="P885" t="str">
        <f t="shared" si="96"/>
        <v>Needs Improvement</v>
      </c>
      <c r="Q885" t="str">
        <f t="shared" si="97"/>
        <v>High</v>
      </c>
    </row>
    <row r="886" spans="1:17" x14ac:dyDescent="0.3">
      <c r="A886">
        <v>1885</v>
      </c>
      <c r="B886">
        <v>10</v>
      </c>
      <c r="C886">
        <v>1</v>
      </c>
      <c r="D886">
        <v>2</v>
      </c>
      <c r="E886">
        <v>6</v>
      </c>
      <c r="F886">
        <v>10</v>
      </c>
      <c r="G886">
        <v>0</v>
      </c>
      <c r="H886">
        <v>68</v>
      </c>
      <c r="I886">
        <v>3</v>
      </c>
      <c r="J886">
        <v>77</v>
      </c>
      <c r="K886">
        <f t="shared" si="91"/>
        <v>5.8</v>
      </c>
      <c r="L886">
        <f t="shared" si="92"/>
        <v>58</v>
      </c>
      <c r="M886">
        <f t="shared" si="93"/>
        <v>40</v>
      </c>
      <c r="N886">
        <f t="shared" si="94"/>
        <v>30</v>
      </c>
      <c r="O886">
        <f t="shared" si="95"/>
        <v>44</v>
      </c>
      <c r="P886" t="str">
        <f t="shared" si="96"/>
        <v>Placement Ready</v>
      </c>
      <c r="Q886" t="str">
        <f t="shared" si="97"/>
        <v>Medium</v>
      </c>
    </row>
    <row r="887" spans="1:17" x14ac:dyDescent="0.3">
      <c r="A887">
        <v>1886</v>
      </c>
      <c r="B887">
        <v>5</v>
      </c>
      <c r="C887">
        <v>7</v>
      </c>
      <c r="D887">
        <v>4</v>
      </c>
      <c r="E887">
        <v>4</v>
      </c>
      <c r="F887">
        <v>9</v>
      </c>
      <c r="G887">
        <v>3</v>
      </c>
      <c r="H887">
        <v>298</v>
      </c>
      <c r="I887">
        <v>3</v>
      </c>
      <c r="J887">
        <v>94</v>
      </c>
      <c r="K887">
        <f t="shared" si="91"/>
        <v>5.8</v>
      </c>
      <c r="L887">
        <f t="shared" si="92"/>
        <v>58</v>
      </c>
      <c r="M887">
        <f t="shared" si="93"/>
        <v>80</v>
      </c>
      <c r="N887">
        <f t="shared" si="94"/>
        <v>45</v>
      </c>
      <c r="O887">
        <f t="shared" si="95"/>
        <v>61</v>
      </c>
      <c r="P887" t="str">
        <f t="shared" si="96"/>
        <v>Placement Ready</v>
      </c>
      <c r="Q887" t="str">
        <f t="shared" si="97"/>
        <v>Medium</v>
      </c>
    </row>
    <row r="888" spans="1:17" x14ac:dyDescent="0.3">
      <c r="A888">
        <v>1887</v>
      </c>
      <c r="B888">
        <v>4</v>
      </c>
      <c r="C888">
        <v>1</v>
      </c>
      <c r="D888">
        <v>5</v>
      </c>
      <c r="E888">
        <v>7</v>
      </c>
      <c r="F888">
        <v>3</v>
      </c>
      <c r="G888">
        <v>8</v>
      </c>
      <c r="H888">
        <v>101</v>
      </c>
      <c r="I888">
        <v>5</v>
      </c>
      <c r="J888">
        <v>69</v>
      </c>
      <c r="K888">
        <f t="shared" si="91"/>
        <v>4</v>
      </c>
      <c r="L888">
        <f t="shared" si="92"/>
        <v>40</v>
      </c>
      <c r="M888">
        <f t="shared" si="93"/>
        <v>40</v>
      </c>
      <c r="N888">
        <f t="shared" si="94"/>
        <v>90</v>
      </c>
      <c r="O888">
        <f t="shared" si="95"/>
        <v>55</v>
      </c>
      <c r="P888" t="str">
        <f t="shared" si="96"/>
        <v>Needs Improvement</v>
      </c>
      <c r="Q888" t="str">
        <f t="shared" si="97"/>
        <v>Medium</v>
      </c>
    </row>
    <row r="889" spans="1:17" x14ac:dyDescent="0.3">
      <c r="A889">
        <v>1888</v>
      </c>
      <c r="B889">
        <v>5</v>
      </c>
      <c r="C889">
        <v>2</v>
      </c>
      <c r="D889">
        <v>2</v>
      </c>
      <c r="E889">
        <v>5</v>
      </c>
      <c r="F889">
        <v>5</v>
      </c>
      <c r="G889">
        <v>0</v>
      </c>
      <c r="H889">
        <v>488</v>
      </c>
      <c r="I889">
        <v>1</v>
      </c>
      <c r="J889">
        <v>58</v>
      </c>
      <c r="K889">
        <f t="shared" si="91"/>
        <v>3.8</v>
      </c>
      <c r="L889">
        <f t="shared" si="92"/>
        <v>38</v>
      </c>
      <c r="M889">
        <f t="shared" si="93"/>
        <v>100</v>
      </c>
      <c r="N889">
        <f t="shared" si="94"/>
        <v>10</v>
      </c>
      <c r="O889">
        <f t="shared" si="95"/>
        <v>48</v>
      </c>
      <c r="P889" t="str">
        <f t="shared" si="96"/>
        <v>Needs Improvement</v>
      </c>
      <c r="Q889" t="str">
        <f t="shared" si="97"/>
        <v>Medium</v>
      </c>
    </row>
    <row r="890" spans="1:17" x14ac:dyDescent="0.3">
      <c r="A890">
        <v>1889</v>
      </c>
      <c r="B890">
        <v>2</v>
      </c>
      <c r="C890">
        <v>10</v>
      </c>
      <c r="D890">
        <v>2</v>
      </c>
      <c r="E890">
        <v>6</v>
      </c>
      <c r="F890">
        <v>8</v>
      </c>
      <c r="G890">
        <v>7</v>
      </c>
      <c r="H890">
        <v>379</v>
      </c>
      <c r="I890">
        <v>3</v>
      </c>
      <c r="J890">
        <v>64</v>
      </c>
      <c r="K890">
        <f t="shared" si="91"/>
        <v>5.6</v>
      </c>
      <c r="L890">
        <f t="shared" si="92"/>
        <v>56</v>
      </c>
      <c r="M890">
        <f t="shared" si="93"/>
        <v>80</v>
      </c>
      <c r="N890">
        <f t="shared" si="94"/>
        <v>65</v>
      </c>
      <c r="O890">
        <f t="shared" si="95"/>
        <v>66</v>
      </c>
      <c r="P890" t="str">
        <f t="shared" si="96"/>
        <v>Needs Improvement</v>
      </c>
      <c r="Q890" t="str">
        <f t="shared" si="97"/>
        <v>Medium</v>
      </c>
    </row>
    <row r="891" spans="1:17" x14ac:dyDescent="0.3">
      <c r="A891">
        <v>1890</v>
      </c>
      <c r="B891">
        <v>7</v>
      </c>
      <c r="C891">
        <v>7</v>
      </c>
      <c r="D891">
        <v>3</v>
      </c>
      <c r="E891">
        <v>3</v>
      </c>
      <c r="F891">
        <v>1</v>
      </c>
      <c r="G891">
        <v>6</v>
      </c>
      <c r="H891">
        <v>439</v>
      </c>
      <c r="I891">
        <v>1</v>
      </c>
      <c r="J891">
        <v>68</v>
      </c>
      <c r="K891">
        <f t="shared" si="91"/>
        <v>4.2</v>
      </c>
      <c r="L891">
        <f t="shared" si="92"/>
        <v>42</v>
      </c>
      <c r="M891">
        <f t="shared" si="93"/>
        <v>100</v>
      </c>
      <c r="N891">
        <f t="shared" si="94"/>
        <v>40</v>
      </c>
      <c r="O891">
        <f t="shared" si="95"/>
        <v>59</v>
      </c>
      <c r="P891" t="str">
        <f t="shared" si="96"/>
        <v>Needs Improvement</v>
      </c>
      <c r="Q891" t="str">
        <f t="shared" si="97"/>
        <v>Medium</v>
      </c>
    </row>
    <row r="892" spans="1:17" x14ac:dyDescent="0.3">
      <c r="A892">
        <v>1891</v>
      </c>
      <c r="B892">
        <v>5</v>
      </c>
      <c r="C892">
        <v>3</v>
      </c>
      <c r="D892">
        <v>5</v>
      </c>
      <c r="E892">
        <v>3</v>
      </c>
      <c r="F892">
        <v>6</v>
      </c>
      <c r="G892">
        <v>3</v>
      </c>
      <c r="H892">
        <v>113</v>
      </c>
      <c r="I892">
        <v>5</v>
      </c>
      <c r="J892">
        <v>67</v>
      </c>
      <c r="K892">
        <f t="shared" si="91"/>
        <v>4.4000000000000004</v>
      </c>
      <c r="L892">
        <f t="shared" si="92"/>
        <v>44</v>
      </c>
      <c r="M892">
        <f t="shared" si="93"/>
        <v>40</v>
      </c>
      <c r="N892">
        <f t="shared" si="94"/>
        <v>65</v>
      </c>
      <c r="O892">
        <f t="shared" si="95"/>
        <v>49</v>
      </c>
      <c r="P892" t="str">
        <f t="shared" si="96"/>
        <v>Needs Improvement</v>
      </c>
      <c r="Q892" t="str">
        <f t="shared" si="97"/>
        <v>Medium</v>
      </c>
    </row>
    <row r="893" spans="1:17" x14ac:dyDescent="0.3">
      <c r="A893">
        <v>1892</v>
      </c>
      <c r="B893">
        <v>3</v>
      </c>
      <c r="C893">
        <v>4</v>
      </c>
      <c r="D893">
        <v>7</v>
      </c>
      <c r="E893">
        <v>7</v>
      </c>
      <c r="F893">
        <v>5</v>
      </c>
      <c r="G893">
        <v>2</v>
      </c>
      <c r="H893">
        <v>498</v>
      </c>
      <c r="I893">
        <v>1</v>
      </c>
      <c r="J893">
        <v>61</v>
      </c>
      <c r="K893">
        <f t="shared" si="91"/>
        <v>5.2</v>
      </c>
      <c r="L893">
        <f t="shared" si="92"/>
        <v>52</v>
      </c>
      <c r="M893">
        <f t="shared" si="93"/>
        <v>100</v>
      </c>
      <c r="N893">
        <f t="shared" si="94"/>
        <v>20</v>
      </c>
      <c r="O893">
        <f t="shared" si="95"/>
        <v>57</v>
      </c>
      <c r="P893" t="str">
        <f t="shared" si="96"/>
        <v>Needs Improvement</v>
      </c>
      <c r="Q893" t="str">
        <f t="shared" si="97"/>
        <v>Medium</v>
      </c>
    </row>
    <row r="894" spans="1:17" x14ac:dyDescent="0.3">
      <c r="A894">
        <v>1893</v>
      </c>
      <c r="B894">
        <v>4</v>
      </c>
      <c r="C894">
        <v>2</v>
      </c>
      <c r="D894">
        <v>6</v>
      </c>
      <c r="E894">
        <v>9</v>
      </c>
      <c r="F894">
        <v>10</v>
      </c>
      <c r="G894">
        <v>8</v>
      </c>
      <c r="H894">
        <v>143</v>
      </c>
      <c r="I894">
        <v>0</v>
      </c>
      <c r="J894">
        <v>42</v>
      </c>
      <c r="K894">
        <f t="shared" si="91"/>
        <v>6.2</v>
      </c>
      <c r="L894">
        <f t="shared" si="92"/>
        <v>62</v>
      </c>
      <c r="M894">
        <f t="shared" si="93"/>
        <v>40</v>
      </c>
      <c r="N894">
        <f t="shared" si="94"/>
        <v>40</v>
      </c>
      <c r="O894">
        <f t="shared" si="95"/>
        <v>49</v>
      </c>
      <c r="P894" t="str">
        <f t="shared" si="96"/>
        <v>Not Ready</v>
      </c>
      <c r="Q894" t="str">
        <f t="shared" si="97"/>
        <v>Medium</v>
      </c>
    </row>
    <row r="895" spans="1:17" x14ac:dyDescent="0.3">
      <c r="A895">
        <v>1894</v>
      </c>
      <c r="B895">
        <v>2</v>
      </c>
      <c r="C895">
        <v>5</v>
      </c>
      <c r="D895">
        <v>3</v>
      </c>
      <c r="E895">
        <v>6</v>
      </c>
      <c r="F895">
        <v>1</v>
      </c>
      <c r="G895">
        <v>3</v>
      </c>
      <c r="H895">
        <v>236</v>
      </c>
      <c r="I895">
        <v>3</v>
      </c>
      <c r="J895">
        <v>57</v>
      </c>
      <c r="K895">
        <f t="shared" si="91"/>
        <v>3.4</v>
      </c>
      <c r="L895">
        <f t="shared" si="92"/>
        <v>34</v>
      </c>
      <c r="M895">
        <f t="shared" si="93"/>
        <v>60</v>
      </c>
      <c r="N895">
        <f t="shared" si="94"/>
        <v>45</v>
      </c>
      <c r="O895">
        <f t="shared" si="95"/>
        <v>45</v>
      </c>
      <c r="P895" t="str">
        <f t="shared" si="96"/>
        <v>Needs Improvement</v>
      </c>
      <c r="Q895" t="str">
        <f t="shared" si="97"/>
        <v>Medium</v>
      </c>
    </row>
    <row r="896" spans="1:17" x14ac:dyDescent="0.3">
      <c r="A896">
        <v>1895</v>
      </c>
      <c r="B896">
        <v>7</v>
      </c>
      <c r="C896">
        <v>5</v>
      </c>
      <c r="D896">
        <v>4</v>
      </c>
      <c r="E896">
        <v>10</v>
      </c>
      <c r="F896">
        <v>1</v>
      </c>
      <c r="G896">
        <v>2</v>
      </c>
      <c r="H896">
        <v>416</v>
      </c>
      <c r="I896">
        <v>5</v>
      </c>
      <c r="J896">
        <v>95</v>
      </c>
      <c r="K896">
        <f t="shared" si="91"/>
        <v>5.4</v>
      </c>
      <c r="L896">
        <f t="shared" si="92"/>
        <v>54</v>
      </c>
      <c r="M896">
        <f t="shared" si="93"/>
        <v>100</v>
      </c>
      <c r="N896">
        <f t="shared" si="94"/>
        <v>60</v>
      </c>
      <c r="O896">
        <f t="shared" si="95"/>
        <v>70</v>
      </c>
      <c r="P896" t="str">
        <f t="shared" si="96"/>
        <v>Placement Ready</v>
      </c>
      <c r="Q896" t="str">
        <f t="shared" si="97"/>
        <v>Medium</v>
      </c>
    </row>
    <row r="897" spans="1:17" x14ac:dyDescent="0.3">
      <c r="A897">
        <v>1896</v>
      </c>
      <c r="B897">
        <v>3</v>
      </c>
      <c r="C897">
        <v>10</v>
      </c>
      <c r="D897">
        <v>8</v>
      </c>
      <c r="E897">
        <v>6</v>
      </c>
      <c r="F897">
        <v>10</v>
      </c>
      <c r="G897">
        <v>1</v>
      </c>
      <c r="H897">
        <v>399</v>
      </c>
      <c r="I897">
        <v>2</v>
      </c>
      <c r="J897">
        <v>88</v>
      </c>
      <c r="K897">
        <f t="shared" si="91"/>
        <v>7.4</v>
      </c>
      <c r="L897">
        <f t="shared" si="92"/>
        <v>74</v>
      </c>
      <c r="M897">
        <f t="shared" si="93"/>
        <v>80</v>
      </c>
      <c r="N897">
        <f t="shared" si="94"/>
        <v>25</v>
      </c>
      <c r="O897">
        <f t="shared" si="95"/>
        <v>61</v>
      </c>
      <c r="P897" t="str">
        <f t="shared" si="96"/>
        <v>Placement Ready</v>
      </c>
      <c r="Q897" t="str">
        <f t="shared" si="97"/>
        <v>Medium</v>
      </c>
    </row>
    <row r="898" spans="1:17" x14ac:dyDescent="0.3">
      <c r="A898">
        <v>1897</v>
      </c>
      <c r="B898">
        <v>10</v>
      </c>
      <c r="C898">
        <v>5</v>
      </c>
      <c r="D898">
        <v>5</v>
      </c>
      <c r="E898">
        <v>1</v>
      </c>
      <c r="F898">
        <v>5</v>
      </c>
      <c r="G898">
        <v>4</v>
      </c>
      <c r="H898">
        <v>352</v>
      </c>
      <c r="I898">
        <v>0</v>
      </c>
      <c r="J898">
        <v>44</v>
      </c>
      <c r="K898">
        <f t="shared" si="91"/>
        <v>5.2</v>
      </c>
      <c r="L898">
        <f t="shared" si="92"/>
        <v>52</v>
      </c>
      <c r="M898">
        <f t="shared" si="93"/>
        <v>80</v>
      </c>
      <c r="N898">
        <f t="shared" si="94"/>
        <v>20</v>
      </c>
      <c r="O898">
        <f t="shared" si="95"/>
        <v>51</v>
      </c>
      <c r="P898" t="str">
        <f t="shared" si="96"/>
        <v>Not Ready</v>
      </c>
      <c r="Q898" t="str">
        <f t="shared" si="97"/>
        <v>Medium</v>
      </c>
    </row>
    <row r="899" spans="1:17" x14ac:dyDescent="0.3">
      <c r="A899">
        <v>1898</v>
      </c>
      <c r="B899">
        <v>5</v>
      </c>
      <c r="C899">
        <v>1</v>
      </c>
      <c r="D899">
        <v>3</v>
      </c>
      <c r="E899">
        <v>5</v>
      </c>
      <c r="F899">
        <v>10</v>
      </c>
      <c r="G899">
        <v>7</v>
      </c>
      <c r="H899">
        <v>61</v>
      </c>
      <c r="I899">
        <v>2</v>
      </c>
      <c r="J899">
        <v>59</v>
      </c>
      <c r="K899">
        <f t="shared" ref="K899:K962" si="98">AVERAGE(B899:F899)</f>
        <v>4.8</v>
      </c>
      <c r="L899">
        <f t="shared" ref="L899:L962" si="99">K899*10</f>
        <v>48</v>
      </c>
      <c r="M899">
        <f t="shared" ref="M899:M962" si="100">IF(H899&gt;=400,100,IF(H899&gt;=250,80,IF(H899&gt;=150,60,40)))</f>
        <v>40</v>
      </c>
      <c r="N899">
        <f t="shared" ref="N899:N962" si="101">(G899*5)+(I899*10)</f>
        <v>55</v>
      </c>
      <c r="O899">
        <f t="shared" ref="O899:O962" si="102">ROUND((L899*0.4)+(M899*0.3)+(N899*0.3),0)</f>
        <v>48</v>
      </c>
      <c r="P899" t="str">
        <f t="shared" ref="P899:P962" si="103">IF(J899&gt;=75,"Placement Ready",IF(J899&gt;=50,"Needs Improvement","Not Ready"))</f>
        <v>Needs Improvement</v>
      </c>
      <c r="Q899" t="str">
        <f t="shared" ref="Q899:Q962" si="104">IF(O899&lt;40,"Low",IF(O899&lt;=70,"Medium","High"))</f>
        <v>Medium</v>
      </c>
    </row>
    <row r="900" spans="1:17" x14ac:dyDescent="0.3">
      <c r="A900">
        <v>1899</v>
      </c>
      <c r="B900">
        <v>4</v>
      </c>
      <c r="C900">
        <v>8</v>
      </c>
      <c r="D900">
        <v>2</v>
      </c>
      <c r="E900">
        <v>7</v>
      </c>
      <c r="F900">
        <v>8</v>
      </c>
      <c r="G900">
        <v>1</v>
      </c>
      <c r="H900">
        <v>474</v>
      </c>
      <c r="I900">
        <v>0</v>
      </c>
      <c r="J900">
        <v>62</v>
      </c>
      <c r="K900">
        <f t="shared" si="98"/>
        <v>5.8</v>
      </c>
      <c r="L900">
        <f t="shared" si="99"/>
        <v>58</v>
      </c>
      <c r="M900">
        <f t="shared" si="100"/>
        <v>100</v>
      </c>
      <c r="N900">
        <f t="shared" si="101"/>
        <v>5</v>
      </c>
      <c r="O900">
        <f t="shared" si="102"/>
        <v>55</v>
      </c>
      <c r="P900" t="str">
        <f t="shared" si="103"/>
        <v>Needs Improvement</v>
      </c>
      <c r="Q900" t="str">
        <f t="shared" si="104"/>
        <v>Medium</v>
      </c>
    </row>
    <row r="901" spans="1:17" x14ac:dyDescent="0.3">
      <c r="A901">
        <v>1900</v>
      </c>
      <c r="B901">
        <v>5</v>
      </c>
      <c r="C901">
        <v>5</v>
      </c>
      <c r="D901">
        <v>1</v>
      </c>
      <c r="E901">
        <v>10</v>
      </c>
      <c r="F901">
        <v>7</v>
      </c>
      <c r="G901">
        <v>4</v>
      </c>
      <c r="H901">
        <v>134</v>
      </c>
      <c r="I901">
        <v>0</v>
      </c>
      <c r="J901">
        <v>52</v>
      </c>
      <c r="K901">
        <f t="shared" si="98"/>
        <v>5.6</v>
      </c>
      <c r="L901">
        <f t="shared" si="99"/>
        <v>56</v>
      </c>
      <c r="M901">
        <f t="shared" si="100"/>
        <v>40</v>
      </c>
      <c r="N901">
        <f t="shared" si="101"/>
        <v>20</v>
      </c>
      <c r="O901">
        <f t="shared" si="102"/>
        <v>40</v>
      </c>
      <c r="P901" t="str">
        <f t="shared" si="103"/>
        <v>Needs Improvement</v>
      </c>
      <c r="Q901" t="str">
        <f t="shared" si="104"/>
        <v>Medium</v>
      </c>
    </row>
    <row r="902" spans="1:17" x14ac:dyDescent="0.3">
      <c r="A902">
        <v>1901</v>
      </c>
      <c r="B902">
        <v>9</v>
      </c>
      <c r="C902">
        <v>8</v>
      </c>
      <c r="D902">
        <v>3</v>
      </c>
      <c r="E902">
        <v>9</v>
      </c>
      <c r="F902">
        <v>5</v>
      </c>
      <c r="G902">
        <v>0</v>
      </c>
      <c r="H902">
        <v>228</v>
      </c>
      <c r="I902">
        <v>0</v>
      </c>
      <c r="J902">
        <v>54</v>
      </c>
      <c r="K902">
        <f t="shared" si="98"/>
        <v>6.8</v>
      </c>
      <c r="L902">
        <f t="shared" si="99"/>
        <v>68</v>
      </c>
      <c r="M902">
        <f t="shared" si="100"/>
        <v>60</v>
      </c>
      <c r="N902">
        <f t="shared" si="101"/>
        <v>0</v>
      </c>
      <c r="O902">
        <f t="shared" si="102"/>
        <v>45</v>
      </c>
      <c r="P902" t="str">
        <f t="shared" si="103"/>
        <v>Needs Improvement</v>
      </c>
      <c r="Q902" t="str">
        <f t="shared" si="104"/>
        <v>Medium</v>
      </c>
    </row>
    <row r="903" spans="1:17" x14ac:dyDescent="0.3">
      <c r="A903">
        <v>1902</v>
      </c>
      <c r="B903">
        <v>3</v>
      </c>
      <c r="C903">
        <v>6</v>
      </c>
      <c r="D903">
        <v>6</v>
      </c>
      <c r="E903">
        <v>8</v>
      </c>
      <c r="F903">
        <v>8</v>
      </c>
      <c r="G903">
        <v>4</v>
      </c>
      <c r="H903">
        <v>63</v>
      </c>
      <c r="I903">
        <v>2</v>
      </c>
      <c r="J903">
        <v>89</v>
      </c>
      <c r="K903">
        <f t="shared" si="98"/>
        <v>6.2</v>
      </c>
      <c r="L903">
        <f t="shared" si="99"/>
        <v>62</v>
      </c>
      <c r="M903">
        <f t="shared" si="100"/>
        <v>40</v>
      </c>
      <c r="N903">
        <f t="shared" si="101"/>
        <v>40</v>
      </c>
      <c r="O903">
        <f t="shared" si="102"/>
        <v>49</v>
      </c>
      <c r="P903" t="str">
        <f t="shared" si="103"/>
        <v>Placement Ready</v>
      </c>
      <c r="Q903" t="str">
        <f t="shared" si="104"/>
        <v>Medium</v>
      </c>
    </row>
    <row r="904" spans="1:17" x14ac:dyDescent="0.3">
      <c r="A904">
        <v>1903</v>
      </c>
      <c r="B904">
        <v>1</v>
      </c>
      <c r="C904">
        <v>2</v>
      </c>
      <c r="D904">
        <v>10</v>
      </c>
      <c r="E904">
        <v>3</v>
      </c>
      <c r="F904">
        <v>2</v>
      </c>
      <c r="G904">
        <v>1</v>
      </c>
      <c r="H904">
        <v>469</v>
      </c>
      <c r="I904">
        <v>1</v>
      </c>
      <c r="J904">
        <v>68</v>
      </c>
      <c r="K904">
        <f t="shared" si="98"/>
        <v>3.6</v>
      </c>
      <c r="L904">
        <f t="shared" si="99"/>
        <v>36</v>
      </c>
      <c r="M904">
        <f t="shared" si="100"/>
        <v>100</v>
      </c>
      <c r="N904">
        <f t="shared" si="101"/>
        <v>15</v>
      </c>
      <c r="O904">
        <f t="shared" si="102"/>
        <v>49</v>
      </c>
      <c r="P904" t="str">
        <f t="shared" si="103"/>
        <v>Needs Improvement</v>
      </c>
      <c r="Q904" t="str">
        <f t="shared" si="104"/>
        <v>Medium</v>
      </c>
    </row>
    <row r="905" spans="1:17" x14ac:dyDescent="0.3">
      <c r="A905">
        <v>1904</v>
      </c>
      <c r="B905">
        <v>3</v>
      </c>
      <c r="C905">
        <v>7</v>
      </c>
      <c r="D905">
        <v>2</v>
      </c>
      <c r="E905">
        <v>2</v>
      </c>
      <c r="F905">
        <v>3</v>
      </c>
      <c r="G905">
        <v>3</v>
      </c>
      <c r="H905">
        <v>268</v>
      </c>
      <c r="I905">
        <v>1</v>
      </c>
      <c r="J905">
        <v>69</v>
      </c>
      <c r="K905">
        <f t="shared" si="98"/>
        <v>3.4</v>
      </c>
      <c r="L905">
        <f t="shared" si="99"/>
        <v>34</v>
      </c>
      <c r="M905">
        <f t="shared" si="100"/>
        <v>80</v>
      </c>
      <c r="N905">
        <f t="shared" si="101"/>
        <v>25</v>
      </c>
      <c r="O905">
        <f t="shared" si="102"/>
        <v>45</v>
      </c>
      <c r="P905" t="str">
        <f t="shared" si="103"/>
        <v>Needs Improvement</v>
      </c>
      <c r="Q905" t="str">
        <f t="shared" si="104"/>
        <v>Medium</v>
      </c>
    </row>
    <row r="906" spans="1:17" x14ac:dyDescent="0.3">
      <c r="A906">
        <v>1905</v>
      </c>
      <c r="B906">
        <v>4</v>
      </c>
      <c r="C906">
        <v>8</v>
      </c>
      <c r="D906">
        <v>3</v>
      </c>
      <c r="E906">
        <v>2</v>
      </c>
      <c r="F906">
        <v>4</v>
      </c>
      <c r="G906">
        <v>7</v>
      </c>
      <c r="H906">
        <v>456</v>
      </c>
      <c r="I906">
        <v>2</v>
      </c>
      <c r="J906">
        <v>88</v>
      </c>
      <c r="K906">
        <f t="shared" si="98"/>
        <v>4.2</v>
      </c>
      <c r="L906">
        <f t="shared" si="99"/>
        <v>42</v>
      </c>
      <c r="M906">
        <f t="shared" si="100"/>
        <v>100</v>
      </c>
      <c r="N906">
        <f t="shared" si="101"/>
        <v>55</v>
      </c>
      <c r="O906">
        <f t="shared" si="102"/>
        <v>63</v>
      </c>
      <c r="P906" t="str">
        <f t="shared" si="103"/>
        <v>Placement Ready</v>
      </c>
      <c r="Q906" t="str">
        <f t="shared" si="104"/>
        <v>Medium</v>
      </c>
    </row>
    <row r="907" spans="1:17" x14ac:dyDescent="0.3">
      <c r="A907">
        <v>1906</v>
      </c>
      <c r="B907">
        <v>6</v>
      </c>
      <c r="C907">
        <v>10</v>
      </c>
      <c r="D907">
        <v>9</v>
      </c>
      <c r="E907">
        <v>3</v>
      </c>
      <c r="F907">
        <v>10</v>
      </c>
      <c r="G907">
        <v>1</v>
      </c>
      <c r="H907">
        <v>420</v>
      </c>
      <c r="I907">
        <v>0</v>
      </c>
      <c r="J907">
        <v>66</v>
      </c>
      <c r="K907">
        <f t="shared" si="98"/>
        <v>7.6</v>
      </c>
      <c r="L907">
        <f t="shared" si="99"/>
        <v>76</v>
      </c>
      <c r="M907">
        <f t="shared" si="100"/>
        <v>100</v>
      </c>
      <c r="N907">
        <f t="shared" si="101"/>
        <v>5</v>
      </c>
      <c r="O907">
        <f t="shared" si="102"/>
        <v>62</v>
      </c>
      <c r="P907" t="str">
        <f t="shared" si="103"/>
        <v>Needs Improvement</v>
      </c>
      <c r="Q907" t="str">
        <f t="shared" si="104"/>
        <v>Medium</v>
      </c>
    </row>
    <row r="908" spans="1:17" x14ac:dyDescent="0.3">
      <c r="A908">
        <v>1907</v>
      </c>
      <c r="B908">
        <v>6</v>
      </c>
      <c r="C908">
        <v>9</v>
      </c>
      <c r="D908">
        <v>3</v>
      </c>
      <c r="E908">
        <v>6</v>
      </c>
      <c r="F908">
        <v>1</v>
      </c>
      <c r="G908">
        <v>8</v>
      </c>
      <c r="H908">
        <v>262</v>
      </c>
      <c r="I908">
        <v>4</v>
      </c>
      <c r="J908">
        <v>78</v>
      </c>
      <c r="K908">
        <f t="shared" si="98"/>
        <v>5</v>
      </c>
      <c r="L908">
        <f t="shared" si="99"/>
        <v>50</v>
      </c>
      <c r="M908">
        <f t="shared" si="100"/>
        <v>80</v>
      </c>
      <c r="N908">
        <f t="shared" si="101"/>
        <v>80</v>
      </c>
      <c r="O908">
        <f t="shared" si="102"/>
        <v>68</v>
      </c>
      <c r="P908" t="str">
        <f t="shared" si="103"/>
        <v>Placement Ready</v>
      </c>
      <c r="Q908" t="str">
        <f t="shared" si="104"/>
        <v>Medium</v>
      </c>
    </row>
    <row r="909" spans="1:17" x14ac:dyDescent="0.3">
      <c r="A909">
        <v>1908</v>
      </c>
      <c r="B909">
        <v>2</v>
      </c>
      <c r="C909">
        <v>2</v>
      </c>
      <c r="D909">
        <v>6</v>
      </c>
      <c r="E909">
        <v>3</v>
      </c>
      <c r="F909">
        <v>1</v>
      </c>
      <c r="G909">
        <v>6</v>
      </c>
      <c r="H909">
        <v>78</v>
      </c>
      <c r="I909">
        <v>1</v>
      </c>
      <c r="J909">
        <v>73</v>
      </c>
      <c r="K909">
        <f t="shared" si="98"/>
        <v>2.8</v>
      </c>
      <c r="L909">
        <f t="shared" si="99"/>
        <v>28</v>
      </c>
      <c r="M909">
        <f t="shared" si="100"/>
        <v>40</v>
      </c>
      <c r="N909">
        <f t="shared" si="101"/>
        <v>40</v>
      </c>
      <c r="O909">
        <f t="shared" si="102"/>
        <v>35</v>
      </c>
      <c r="P909" t="str">
        <f t="shared" si="103"/>
        <v>Needs Improvement</v>
      </c>
      <c r="Q909" t="str">
        <f t="shared" si="104"/>
        <v>Low</v>
      </c>
    </row>
    <row r="910" spans="1:17" x14ac:dyDescent="0.3">
      <c r="A910">
        <v>1909</v>
      </c>
      <c r="B910">
        <v>1</v>
      </c>
      <c r="C910">
        <v>10</v>
      </c>
      <c r="D910">
        <v>6</v>
      </c>
      <c r="E910">
        <v>2</v>
      </c>
      <c r="F910">
        <v>1</v>
      </c>
      <c r="G910">
        <v>3</v>
      </c>
      <c r="H910">
        <v>447</v>
      </c>
      <c r="I910">
        <v>1</v>
      </c>
      <c r="J910">
        <v>63</v>
      </c>
      <c r="K910">
        <f t="shared" si="98"/>
        <v>4</v>
      </c>
      <c r="L910">
        <f t="shared" si="99"/>
        <v>40</v>
      </c>
      <c r="M910">
        <f t="shared" si="100"/>
        <v>100</v>
      </c>
      <c r="N910">
        <f t="shared" si="101"/>
        <v>25</v>
      </c>
      <c r="O910">
        <f t="shared" si="102"/>
        <v>54</v>
      </c>
      <c r="P910" t="str">
        <f t="shared" si="103"/>
        <v>Needs Improvement</v>
      </c>
      <c r="Q910" t="str">
        <f t="shared" si="104"/>
        <v>Medium</v>
      </c>
    </row>
    <row r="911" spans="1:17" x14ac:dyDescent="0.3">
      <c r="A911">
        <v>1910</v>
      </c>
      <c r="B911">
        <v>6</v>
      </c>
      <c r="C911">
        <v>4</v>
      </c>
      <c r="D911">
        <v>7</v>
      </c>
      <c r="E911">
        <v>7</v>
      </c>
      <c r="F911">
        <v>10</v>
      </c>
      <c r="G911">
        <v>3</v>
      </c>
      <c r="H911">
        <v>472</v>
      </c>
      <c r="I911">
        <v>1</v>
      </c>
      <c r="J911">
        <v>67</v>
      </c>
      <c r="K911">
        <f t="shared" si="98"/>
        <v>6.8</v>
      </c>
      <c r="L911">
        <f t="shared" si="99"/>
        <v>68</v>
      </c>
      <c r="M911">
        <f t="shared" si="100"/>
        <v>100</v>
      </c>
      <c r="N911">
        <f t="shared" si="101"/>
        <v>25</v>
      </c>
      <c r="O911">
        <f t="shared" si="102"/>
        <v>65</v>
      </c>
      <c r="P911" t="str">
        <f t="shared" si="103"/>
        <v>Needs Improvement</v>
      </c>
      <c r="Q911" t="str">
        <f t="shared" si="104"/>
        <v>Medium</v>
      </c>
    </row>
    <row r="912" spans="1:17" x14ac:dyDescent="0.3">
      <c r="A912">
        <v>1911</v>
      </c>
      <c r="B912">
        <v>9</v>
      </c>
      <c r="C912">
        <v>5</v>
      </c>
      <c r="D912">
        <v>8</v>
      </c>
      <c r="E912">
        <v>4</v>
      </c>
      <c r="F912">
        <v>6</v>
      </c>
      <c r="G912">
        <v>2</v>
      </c>
      <c r="H912">
        <v>61</v>
      </c>
      <c r="I912">
        <v>1</v>
      </c>
      <c r="J912">
        <v>76</v>
      </c>
      <c r="K912">
        <f t="shared" si="98"/>
        <v>6.4</v>
      </c>
      <c r="L912">
        <f t="shared" si="99"/>
        <v>64</v>
      </c>
      <c r="M912">
        <f t="shared" si="100"/>
        <v>40</v>
      </c>
      <c r="N912">
        <f t="shared" si="101"/>
        <v>20</v>
      </c>
      <c r="O912">
        <f t="shared" si="102"/>
        <v>44</v>
      </c>
      <c r="P912" t="str">
        <f t="shared" si="103"/>
        <v>Placement Ready</v>
      </c>
      <c r="Q912" t="str">
        <f t="shared" si="104"/>
        <v>Medium</v>
      </c>
    </row>
    <row r="913" spans="1:17" x14ac:dyDescent="0.3">
      <c r="A913">
        <v>1912</v>
      </c>
      <c r="B913">
        <v>10</v>
      </c>
      <c r="C913">
        <v>5</v>
      </c>
      <c r="D913">
        <v>5</v>
      </c>
      <c r="E913">
        <v>10</v>
      </c>
      <c r="F913">
        <v>1</v>
      </c>
      <c r="G913">
        <v>0</v>
      </c>
      <c r="H913">
        <v>366</v>
      </c>
      <c r="I913">
        <v>1</v>
      </c>
      <c r="J913">
        <v>76</v>
      </c>
      <c r="K913">
        <f t="shared" si="98"/>
        <v>6.2</v>
      </c>
      <c r="L913">
        <f t="shared" si="99"/>
        <v>62</v>
      </c>
      <c r="M913">
        <f t="shared" si="100"/>
        <v>80</v>
      </c>
      <c r="N913">
        <f t="shared" si="101"/>
        <v>10</v>
      </c>
      <c r="O913">
        <f t="shared" si="102"/>
        <v>52</v>
      </c>
      <c r="P913" t="str">
        <f t="shared" si="103"/>
        <v>Placement Ready</v>
      </c>
      <c r="Q913" t="str">
        <f t="shared" si="104"/>
        <v>Medium</v>
      </c>
    </row>
    <row r="914" spans="1:17" x14ac:dyDescent="0.3">
      <c r="A914">
        <v>1913</v>
      </c>
      <c r="B914">
        <v>9</v>
      </c>
      <c r="C914">
        <v>5</v>
      </c>
      <c r="D914">
        <v>7</v>
      </c>
      <c r="E914">
        <v>9</v>
      </c>
      <c r="F914">
        <v>10</v>
      </c>
      <c r="G914">
        <v>1</v>
      </c>
      <c r="H914">
        <v>88</v>
      </c>
      <c r="I914">
        <v>5</v>
      </c>
      <c r="J914">
        <v>67</v>
      </c>
      <c r="K914">
        <f t="shared" si="98"/>
        <v>8</v>
      </c>
      <c r="L914">
        <f t="shared" si="99"/>
        <v>80</v>
      </c>
      <c r="M914">
        <f t="shared" si="100"/>
        <v>40</v>
      </c>
      <c r="N914">
        <f t="shared" si="101"/>
        <v>55</v>
      </c>
      <c r="O914">
        <f t="shared" si="102"/>
        <v>61</v>
      </c>
      <c r="P914" t="str">
        <f t="shared" si="103"/>
        <v>Needs Improvement</v>
      </c>
      <c r="Q914" t="str">
        <f t="shared" si="104"/>
        <v>Medium</v>
      </c>
    </row>
    <row r="915" spans="1:17" x14ac:dyDescent="0.3">
      <c r="A915">
        <v>1914</v>
      </c>
      <c r="B915">
        <v>7</v>
      </c>
      <c r="C915">
        <v>1</v>
      </c>
      <c r="D915">
        <v>8</v>
      </c>
      <c r="E915">
        <v>6</v>
      </c>
      <c r="F915">
        <v>6</v>
      </c>
      <c r="G915">
        <v>4</v>
      </c>
      <c r="H915">
        <v>228</v>
      </c>
      <c r="I915">
        <v>3</v>
      </c>
      <c r="J915">
        <v>58</v>
      </c>
      <c r="K915">
        <f t="shared" si="98"/>
        <v>5.6</v>
      </c>
      <c r="L915">
        <f t="shared" si="99"/>
        <v>56</v>
      </c>
      <c r="M915">
        <f t="shared" si="100"/>
        <v>60</v>
      </c>
      <c r="N915">
        <f t="shared" si="101"/>
        <v>50</v>
      </c>
      <c r="O915">
        <f t="shared" si="102"/>
        <v>55</v>
      </c>
      <c r="P915" t="str">
        <f t="shared" si="103"/>
        <v>Needs Improvement</v>
      </c>
      <c r="Q915" t="str">
        <f t="shared" si="104"/>
        <v>Medium</v>
      </c>
    </row>
    <row r="916" spans="1:17" x14ac:dyDescent="0.3">
      <c r="A916">
        <v>1915</v>
      </c>
      <c r="B916">
        <v>8</v>
      </c>
      <c r="C916">
        <v>10</v>
      </c>
      <c r="D916">
        <v>2</v>
      </c>
      <c r="E916">
        <v>2</v>
      </c>
      <c r="F916">
        <v>7</v>
      </c>
      <c r="G916">
        <v>2</v>
      </c>
      <c r="H916">
        <v>346</v>
      </c>
      <c r="I916">
        <v>2</v>
      </c>
      <c r="J916">
        <v>90</v>
      </c>
      <c r="K916">
        <f t="shared" si="98"/>
        <v>5.8</v>
      </c>
      <c r="L916">
        <f t="shared" si="99"/>
        <v>58</v>
      </c>
      <c r="M916">
        <f t="shared" si="100"/>
        <v>80</v>
      </c>
      <c r="N916">
        <f t="shared" si="101"/>
        <v>30</v>
      </c>
      <c r="O916">
        <f t="shared" si="102"/>
        <v>56</v>
      </c>
      <c r="P916" t="str">
        <f t="shared" si="103"/>
        <v>Placement Ready</v>
      </c>
      <c r="Q916" t="str">
        <f t="shared" si="104"/>
        <v>Medium</v>
      </c>
    </row>
    <row r="917" spans="1:17" x14ac:dyDescent="0.3">
      <c r="A917">
        <v>1916</v>
      </c>
      <c r="B917">
        <v>1</v>
      </c>
      <c r="C917">
        <v>3</v>
      </c>
      <c r="D917">
        <v>2</v>
      </c>
      <c r="E917">
        <v>2</v>
      </c>
      <c r="F917">
        <v>9</v>
      </c>
      <c r="G917">
        <v>5</v>
      </c>
      <c r="H917">
        <v>291</v>
      </c>
      <c r="I917">
        <v>0</v>
      </c>
      <c r="J917">
        <v>81</v>
      </c>
      <c r="K917">
        <f t="shared" si="98"/>
        <v>3.4</v>
      </c>
      <c r="L917">
        <f t="shared" si="99"/>
        <v>34</v>
      </c>
      <c r="M917">
        <f t="shared" si="100"/>
        <v>80</v>
      </c>
      <c r="N917">
        <f t="shared" si="101"/>
        <v>25</v>
      </c>
      <c r="O917">
        <f t="shared" si="102"/>
        <v>45</v>
      </c>
      <c r="P917" t="str">
        <f t="shared" si="103"/>
        <v>Placement Ready</v>
      </c>
      <c r="Q917" t="str">
        <f t="shared" si="104"/>
        <v>Medium</v>
      </c>
    </row>
    <row r="918" spans="1:17" x14ac:dyDescent="0.3">
      <c r="A918">
        <v>1917</v>
      </c>
      <c r="B918">
        <v>1</v>
      </c>
      <c r="C918">
        <v>6</v>
      </c>
      <c r="D918">
        <v>8</v>
      </c>
      <c r="E918">
        <v>2</v>
      </c>
      <c r="F918">
        <v>3</v>
      </c>
      <c r="G918">
        <v>2</v>
      </c>
      <c r="H918">
        <v>364</v>
      </c>
      <c r="I918">
        <v>2</v>
      </c>
      <c r="J918">
        <v>94</v>
      </c>
      <c r="K918">
        <f t="shared" si="98"/>
        <v>4</v>
      </c>
      <c r="L918">
        <f t="shared" si="99"/>
        <v>40</v>
      </c>
      <c r="M918">
        <f t="shared" si="100"/>
        <v>80</v>
      </c>
      <c r="N918">
        <f t="shared" si="101"/>
        <v>30</v>
      </c>
      <c r="O918">
        <f t="shared" si="102"/>
        <v>49</v>
      </c>
      <c r="P918" t="str">
        <f t="shared" si="103"/>
        <v>Placement Ready</v>
      </c>
      <c r="Q918" t="str">
        <f t="shared" si="104"/>
        <v>Medium</v>
      </c>
    </row>
    <row r="919" spans="1:17" x14ac:dyDescent="0.3">
      <c r="A919">
        <v>1918</v>
      </c>
      <c r="B919">
        <v>5</v>
      </c>
      <c r="C919">
        <v>8</v>
      </c>
      <c r="D919">
        <v>5</v>
      </c>
      <c r="E919">
        <v>7</v>
      </c>
      <c r="F919">
        <v>2</v>
      </c>
      <c r="G919">
        <v>8</v>
      </c>
      <c r="H919">
        <v>146</v>
      </c>
      <c r="I919">
        <v>4</v>
      </c>
      <c r="J919">
        <v>52</v>
      </c>
      <c r="K919">
        <f t="shared" si="98"/>
        <v>5.4</v>
      </c>
      <c r="L919">
        <f t="shared" si="99"/>
        <v>54</v>
      </c>
      <c r="M919">
        <f t="shared" si="100"/>
        <v>40</v>
      </c>
      <c r="N919">
        <f t="shared" si="101"/>
        <v>80</v>
      </c>
      <c r="O919">
        <f t="shared" si="102"/>
        <v>58</v>
      </c>
      <c r="P919" t="str">
        <f t="shared" si="103"/>
        <v>Needs Improvement</v>
      </c>
      <c r="Q919" t="str">
        <f t="shared" si="104"/>
        <v>Medium</v>
      </c>
    </row>
    <row r="920" spans="1:17" x14ac:dyDescent="0.3">
      <c r="A920">
        <v>1919</v>
      </c>
      <c r="B920">
        <v>4</v>
      </c>
      <c r="C920">
        <v>2</v>
      </c>
      <c r="D920">
        <v>4</v>
      </c>
      <c r="E920">
        <v>8</v>
      </c>
      <c r="F920">
        <v>6</v>
      </c>
      <c r="G920">
        <v>8</v>
      </c>
      <c r="H920">
        <v>192</v>
      </c>
      <c r="I920">
        <v>4</v>
      </c>
      <c r="J920">
        <v>75</v>
      </c>
      <c r="K920">
        <f t="shared" si="98"/>
        <v>4.8</v>
      </c>
      <c r="L920">
        <f t="shared" si="99"/>
        <v>48</v>
      </c>
      <c r="M920">
        <f t="shared" si="100"/>
        <v>60</v>
      </c>
      <c r="N920">
        <f t="shared" si="101"/>
        <v>80</v>
      </c>
      <c r="O920">
        <f t="shared" si="102"/>
        <v>61</v>
      </c>
      <c r="P920" t="str">
        <f t="shared" si="103"/>
        <v>Placement Ready</v>
      </c>
      <c r="Q920" t="str">
        <f t="shared" si="104"/>
        <v>Medium</v>
      </c>
    </row>
    <row r="921" spans="1:17" x14ac:dyDescent="0.3">
      <c r="A921">
        <v>1920</v>
      </c>
      <c r="B921">
        <v>3</v>
      </c>
      <c r="C921">
        <v>3</v>
      </c>
      <c r="D921">
        <v>8</v>
      </c>
      <c r="E921">
        <v>3</v>
      </c>
      <c r="F921">
        <v>8</v>
      </c>
      <c r="G921">
        <v>2</v>
      </c>
      <c r="H921">
        <v>168</v>
      </c>
      <c r="I921">
        <v>0</v>
      </c>
      <c r="J921">
        <v>58</v>
      </c>
      <c r="K921">
        <f t="shared" si="98"/>
        <v>5</v>
      </c>
      <c r="L921">
        <f t="shared" si="99"/>
        <v>50</v>
      </c>
      <c r="M921">
        <f t="shared" si="100"/>
        <v>60</v>
      </c>
      <c r="N921">
        <f t="shared" si="101"/>
        <v>10</v>
      </c>
      <c r="O921">
        <f t="shared" si="102"/>
        <v>41</v>
      </c>
      <c r="P921" t="str">
        <f t="shared" si="103"/>
        <v>Needs Improvement</v>
      </c>
      <c r="Q921" t="str">
        <f t="shared" si="104"/>
        <v>Medium</v>
      </c>
    </row>
    <row r="922" spans="1:17" x14ac:dyDescent="0.3">
      <c r="A922">
        <v>1921</v>
      </c>
      <c r="B922">
        <v>5</v>
      </c>
      <c r="C922">
        <v>5</v>
      </c>
      <c r="D922">
        <v>3</v>
      </c>
      <c r="E922">
        <v>5</v>
      </c>
      <c r="F922">
        <v>2</v>
      </c>
      <c r="G922">
        <v>5</v>
      </c>
      <c r="H922">
        <v>295</v>
      </c>
      <c r="I922">
        <v>3</v>
      </c>
      <c r="J922">
        <v>45</v>
      </c>
      <c r="K922">
        <f t="shared" si="98"/>
        <v>4</v>
      </c>
      <c r="L922">
        <f t="shared" si="99"/>
        <v>40</v>
      </c>
      <c r="M922">
        <f t="shared" si="100"/>
        <v>80</v>
      </c>
      <c r="N922">
        <f t="shared" si="101"/>
        <v>55</v>
      </c>
      <c r="O922">
        <f t="shared" si="102"/>
        <v>57</v>
      </c>
      <c r="P922" t="str">
        <f t="shared" si="103"/>
        <v>Not Ready</v>
      </c>
      <c r="Q922" t="str">
        <f t="shared" si="104"/>
        <v>Medium</v>
      </c>
    </row>
    <row r="923" spans="1:17" x14ac:dyDescent="0.3">
      <c r="A923">
        <v>1922</v>
      </c>
      <c r="B923">
        <v>4</v>
      </c>
      <c r="C923">
        <v>7</v>
      </c>
      <c r="D923">
        <v>3</v>
      </c>
      <c r="E923">
        <v>9</v>
      </c>
      <c r="F923">
        <v>9</v>
      </c>
      <c r="G923">
        <v>6</v>
      </c>
      <c r="H923">
        <v>130</v>
      </c>
      <c r="I923">
        <v>2</v>
      </c>
      <c r="J923">
        <v>45</v>
      </c>
      <c r="K923">
        <f t="shared" si="98"/>
        <v>6.4</v>
      </c>
      <c r="L923">
        <f t="shared" si="99"/>
        <v>64</v>
      </c>
      <c r="M923">
        <f t="shared" si="100"/>
        <v>40</v>
      </c>
      <c r="N923">
        <f t="shared" si="101"/>
        <v>50</v>
      </c>
      <c r="O923">
        <f t="shared" si="102"/>
        <v>53</v>
      </c>
      <c r="P923" t="str">
        <f t="shared" si="103"/>
        <v>Not Ready</v>
      </c>
      <c r="Q923" t="str">
        <f t="shared" si="104"/>
        <v>Medium</v>
      </c>
    </row>
    <row r="924" spans="1:17" x14ac:dyDescent="0.3">
      <c r="A924">
        <v>1923</v>
      </c>
      <c r="B924">
        <v>7</v>
      </c>
      <c r="C924">
        <v>9</v>
      </c>
      <c r="D924">
        <v>6</v>
      </c>
      <c r="E924">
        <v>4</v>
      </c>
      <c r="F924">
        <v>10</v>
      </c>
      <c r="G924">
        <v>5</v>
      </c>
      <c r="H924">
        <v>329</v>
      </c>
      <c r="I924">
        <v>0</v>
      </c>
      <c r="J924">
        <v>73</v>
      </c>
      <c r="K924">
        <f t="shared" si="98"/>
        <v>7.2</v>
      </c>
      <c r="L924">
        <f t="shared" si="99"/>
        <v>72</v>
      </c>
      <c r="M924">
        <f t="shared" si="100"/>
        <v>80</v>
      </c>
      <c r="N924">
        <f t="shared" si="101"/>
        <v>25</v>
      </c>
      <c r="O924">
        <f t="shared" si="102"/>
        <v>60</v>
      </c>
      <c r="P924" t="str">
        <f t="shared" si="103"/>
        <v>Needs Improvement</v>
      </c>
      <c r="Q924" t="str">
        <f t="shared" si="104"/>
        <v>Medium</v>
      </c>
    </row>
    <row r="925" spans="1:17" x14ac:dyDescent="0.3">
      <c r="A925">
        <v>1924</v>
      </c>
      <c r="B925">
        <v>9</v>
      </c>
      <c r="C925">
        <v>2</v>
      </c>
      <c r="D925">
        <v>1</v>
      </c>
      <c r="E925">
        <v>5</v>
      </c>
      <c r="F925">
        <v>2</v>
      </c>
      <c r="G925">
        <v>7</v>
      </c>
      <c r="H925">
        <v>456</v>
      </c>
      <c r="I925">
        <v>1</v>
      </c>
      <c r="J925">
        <v>83</v>
      </c>
      <c r="K925">
        <f t="shared" si="98"/>
        <v>3.8</v>
      </c>
      <c r="L925">
        <f t="shared" si="99"/>
        <v>38</v>
      </c>
      <c r="M925">
        <f t="shared" si="100"/>
        <v>100</v>
      </c>
      <c r="N925">
        <f t="shared" si="101"/>
        <v>45</v>
      </c>
      <c r="O925">
        <f t="shared" si="102"/>
        <v>59</v>
      </c>
      <c r="P925" t="str">
        <f t="shared" si="103"/>
        <v>Placement Ready</v>
      </c>
      <c r="Q925" t="str">
        <f t="shared" si="104"/>
        <v>Medium</v>
      </c>
    </row>
    <row r="926" spans="1:17" x14ac:dyDescent="0.3">
      <c r="A926">
        <v>1925</v>
      </c>
      <c r="B926">
        <v>3</v>
      </c>
      <c r="C926">
        <v>2</v>
      </c>
      <c r="D926">
        <v>5</v>
      </c>
      <c r="E926">
        <v>2</v>
      </c>
      <c r="F926">
        <v>2</v>
      </c>
      <c r="G926">
        <v>1</v>
      </c>
      <c r="H926">
        <v>240</v>
      </c>
      <c r="I926">
        <v>0</v>
      </c>
      <c r="J926">
        <v>80</v>
      </c>
      <c r="K926">
        <f t="shared" si="98"/>
        <v>2.8</v>
      </c>
      <c r="L926">
        <f t="shared" si="99"/>
        <v>28</v>
      </c>
      <c r="M926">
        <f t="shared" si="100"/>
        <v>60</v>
      </c>
      <c r="N926">
        <f t="shared" si="101"/>
        <v>5</v>
      </c>
      <c r="O926">
        <f t="shared" si="102"/>
        <v>31</v>
      </c>
      <c r="P926" t="str">
        <f t="shared" si="103"/>
        <v>Placement Ready</v>
      </c>
      <c r="Q926" t="str">
        <f t="shared" si="104"/>
        <v>Low</v>
      </c>
    </row>
    <row r="927" spans="1:17" x14ac:dyDescent="0.3">
      <c r="A927">
        <v>1926</v>
      </c>
      <c r="B927">
        <v>5</v>
      </c>
      <c r="C927">
        <v>4</v>
      </c>
      <c r="D927">
        <v>8</v>
      </c>
      <c r="E927">
        <v>4</v>
      </c>
      <c r="F927">
        <v>10</v>
      </c>
      <c r="G927">
        <v>5</v>
      </c>
      <c r="H927">
        <v>408</v>
      </c>
      <c r="I927">
        <v>3</v>
      </c>
      <c r="J927">
        <v>80</v>
      </c>
      <c r="K927">
        <f t="shared" si="98"/>
        <v>6.2</v>
      </c>
      <c r="L927">
        <f t="shared" si="99"/>
        <v>62</v>
      </c>
      <c r="M927">
        <f t="shared" si="100"/>
        <v>100</v>
      </c>
      <c r="N927">
        <f t="shared" si="101"/>
        <v>55</v>
      </c>
      <c r="O927">
        <f t="shared" si="102"/>
        <v>71</v>
      </c>
      <c r="P927" t="str">
        <f t="shared" si="103"/>
        <v>Placement Ready</v>
      </c>
      <c r="Q927" t="str">
        <f t="shared" si="104"/>
        <v>High</v>
      </c>
    </row>
    <row r="928" spans="1:17" x14ac:dyDescent="0.3">
      <c r="A928">
        <v>1927</v>
      </c>
      <c r="B928">
        <v>1</v>
      </c>
      <c r="C928">
        <v>7</v>
      </c>
      <c r="D928">
        <v>1</v>
      </c>
      <c r="E928">
        <v>4</v>
      </c>
      <c r="F928">
        <v>7</v>
      </c>
      <c r="G928">
        <v>2</v>
      </c>
      <c r="H928">
        <v>193</v>
      </c>
      <c r="I928">
        <v>4</v>
      </c>
      <c r="J928">
        <v>88</v>
      </c>
      <c r="K928">
        <f t="shared" si="98"/>
        <v>4</v>
      </c>
      <c r="L928">
        <f t="shared" si="99"/>
        <v>40</v>
      </c>
      <c r="M928">
        <f t="shared" si="100"/>
        <v>60</v>
      </c>
      <c r="N928">
        <f t="shared" si="101"/>
        <v>50</v>
      </c>
      <c r="O928">
        <f t="shared" si="102"/>
        <v>49</v>
      </c>
      <c r="P928" t="str">
        <f t="shared" si="103"/>
        <v>Placement Ready</v>
      </c>
      <c r="Q928" t="str">
        <f t="shared" si="104"/>
        <v>Medium</v>
      </c>
    </row>
    <row r="929" spans="1:17" x14ac:dyDescent="0.3">
      <c r="A929">
        <v>1928</v>
      </c>
      <c r="B929">
        <v>2</v>
      </c>
      <c r="C929">
        <v>3</v>
      </c>
      <c r="D929">
        <v>9</v>
      </c>
      <c r="E929">
        <v>10</v>
      </c>
      <c r="F929">
        <v>7</v>
      </c>
      <c r="G929">
        <v>6</v>
      </c>
      <c r="H929">
        <v>356</v>
      </c>
      <c r="I929">
        <v>2</v>
      </c>
      <c r="J929">
        <v>67</v>
      </c>
      <c r="K929">
        <f t="shared" si="98"/>
        <v>6.2</v>
      </c>
      <c r="L929">
        <f t="shared" si="99"/>
        <v>62</v>
      </c>
      <c r="M929">
        <f t="shared" si="100"/>
        <v>80</v>
      </c>
      <c r="N929">
        <f t="shared" si="101"/>
        <v>50</v>
      </c>
      <c r="O929">
        <f t="shared" si="102"/>
        <v>64</v>
      </c>
      <c r="P929" t="str">
        <f t="shared" si="103"/>
        <v>Needs Improvement</v>
      </c>
      <c r="Q929" t="str">
        <f t="shared" si="104"/>
        <v>Medium</v>
      </c>
    </row>
    <row r="930" spans="1:17" x14ac:dyDescent="0.3">
      <c r="A930">
        <v>1929</v>
      </c>
      <c r="B930">
        <v>9</v>
      </c>
      <c r="C930">
        <v>4</v>
      </c>
      <c r="D930">
        <v>1</v>
      </c>
      <c r="E930">
        <v>6</v>
      </c>
      <c r="F930">
        <v>3</v>
      </c>
      <c r="G930">
        <v>0</v>
      </c>
      <c r="H930">
        <v>432</v>
      </c>
      <c r="I930">
        <v>0</v>
      </c>
      <c r="J930">
        <v>72</v>
      </c>
      <c r="K930">
        <f t="shared" si="98"/>
        <v>4.5999999999999996</v>
      </c>
      <c r="L930">
        <f t="shared" si="99"/>
        <v>46</v>
      </c>
      <c r="M930">
        <f t="shared" si="100"/>
        <v>100</v>
      </c>
      <c r="N930">
        <f t="shared" si="101"/>
        <v>0</v>
      </c>
      <c r="O930">
        <f t="shared" si="102"/>
        <v>48</v>
      </c>
      <c r="P930" t="str">
        <f t="shared" si="103"/>
        <v>Needs Improvement</v>
      </c>
      <c r="Q930" t="str">
        <f t="shared" si="104"/>
        <v>Medium</v>
      </c>
    </row>
    <row r="931" spans="1:17" x14ac:dyDescent="0.3">
      <c r="A931">
        <v>1930</v>
      </c>
      <c r="B931">
        <v>4</v>
      </c>
      <c r="C931">
        <v>8</v>
      </c>
      <c r="D931">
        <v>3</v>
      </c>
      <c r="E931">
        <v>7</v>
      </c>
      <c r="F931">
        <v>4</v>
      </c>
      <c r="G931">
        <v>2</v>
      </c>
      <c r="H931">
        <v>329</v>
      </c>
      <c r="I931">
        <v>2</v>
      </c>
      <c r="J931">
        <v>84</v>
      </c>
      <c r="K931">
        <f t="shared" si="98"/>
        <v>5.2</v>
      </c>
      <c r="L931">
        <f t="shared" si="99"/>
        <v>52</v>
      </c>
      <c r="M931">
        <f t="shared" si="100"/>
        <v>80</v>
      </c>
      <c r="N931">
        <f t="shared" si="101"/>
        <v>30</v>
      </c>
      <c r="O931">
        <f t="shared" si="102"/>
        <v>54</v>
      </c>
      <c r="P931" t="str">
        <f t="shared" si="103"/>
        <v>Placement Ready</v>
      </c>
      <c r="Q931" t="str">
        <f t="shared" si="104"/>
        <v>Medium</v>
      </c>
    </row>
    <row r="932" spans="1:17" x14ac:dyDescent="0.3">
      <c r="A932">
        <v>1931</v>
      </c>
      <c r="B932">
        <v>5</v>
      </c>
      <c r="C932">
        <v>2</v>
      </c>
      <c r="D932">
        <v>2</v>
      </c>
      <c r="E932">
        <v>6</v>
      </c>
      <c r="F932">
        <v>2</v>
      </c>
      <c r="G932">
        <v>3</v>
      </c>
      <c r="H932">
        <v>334</v>
      </c>
      <c r="I932">
        <v>3</v>
      </c>
      <c r="J932">
        <v>46</v>
      </c>
      <c r="K932">
        <f t="shared" si="98"/>
        <v>3.4</v>
      </c>
      <c r="L932">
        <f t="shared" si="99"/>
        <v>34</v>
      </c>
      <c r="M932">
        <f t="shared" si="100"/>
        <v>80</v>
      </c>
      <c r="N932">
        <f t="shared" si="101"/>
        <v>45</v>
      </c>
      <c r="O932">
        <f t="shared" si="102"/>
        <v>51</v>
      </c>
      <c r="P932" t="str">
        <f t="shared" si="103"/>
        <v>Not Ready</v>
      </c>
      <c r="Q932" t="str">
        <f t="shared" si="104"/>
        <v>Medium</v>
      </c>
    </row>
    <row r="933" spans="1:17" x14ac:dyDescent="0.3">
      <c r="A933">
        <v>1932</v>
      </c>
      <c r="B933">
        <v>9</v>
      </c>
      <c r="C933">
        <v>2</v>
      </c>
      <c r="D933">
        <v>10</v>
      </c>
      <c r="E933">
        <v>3</v>
      </c>
      <c r="F933">
        <v>1</v>
      </c>
      <c r="G933">
        <v>1</v>
      </c>
      <c r="H933">
        <v>68</v>
      </c>
      <c r="I933">
        <v>2</v>
      </c>
      <c r="J933">
        <v>47</v>
      </c>
      <c r="K933">
        <f t="shared" si="98"/>
        <v>5</v>
      </c>
      <c r="L933">
        <f t="shared" si="99"/>
        <v>50</v>
      </c>
      <c r="M933">
        <f t="shared" si="100"/>
        <v>40</v>
      </c>
      <c r="N933">
        <f t="shared" si="101"/>
        <v>25</v>
      </c>
      <c r="O933">
        <f t="shared" si="102"/>
        <v>40</v>
      </c>
      <c r="P933" t="str">
        <f t="shared" si="103"/>
        <v>Not Ready</v>
      </c>
      <c r="Q933" t="str">
        <f t="shared" si="104"/>
        <v>Medium</v>
      </c>
    </row>
    <row r="934" spans="1:17" x14ac:dyDescent="0.3">
      <c r="A934">
        <v>1933</v>
      </c>
      <c r="B934">
        <v>9</v>
      </c>
      <c r="C934">
        <v>4</v>
      </c>
      <c r="D934">
        <v>3</v>
      </c>
      <c r="E934">
        <v>10</v>
      </c>
      <c r="F934">
        <v>5</v>
      </c>
      <c r="G934">
        <v>3</v>
      </c>
      <c r="H934">
        <v>350</v>
      </c>
      <c r="I934">
        <v>5</v>
      </c>
      <c r="J934">
        <v>54</v>
      </c>
      <c r="K934">
        <f t="shared" si="98"/>
        <v>6.2</v>
      </c>
      <c r="L934">
        <f t="shared" si="99"/>
        <v>62</v>
      </c>
      <c r="M934">
        <f t="shared" si="100"/>
        <v>80</v>
      </c>
      <c r="N934">
        <f t="shared" si="101"/>
        <v>65</v>
      </c>
      <c r="O934">
        <f t="shared" si="102"/>
        <v>68</v>
      </c>
      <c r="P934" t="str">
        <f t="shared" si="103"/>
        <v>Needs Improvement</v>
      </c>
      <c r="Q934" t="str">
        <f t="shared" si="104"/>
        <v>Medium</v>
      </c>
    </row>
    <row r="935" spans="1:17" x14ac:dyDescent="0.3">
      <c r="A935">
        <v>1934</v>
      </c>
      <c r="B935">
        <v>5</v>
      </c>
      <c r="C935">
        <v>2</v>
      </c>
      <c r="D935">
        <v>4</v>
      </c>
      <c r="E935">
        <v>5</v>
      </c>
      <c r="F935">
        <v>1</v>
      </c>
      <c r="G935">
        <v>8</v>
      </c>
      <c r="H935">
        <v>425</v>
      </c>
      <c r="I935">
        <v>2</v>
      </c>
      <c r="J935">
        <v>82</v>
      </c>
      <c r="K935">
        <f t="shared" si="98"/>
        <v>3.4</v>
      </c>
      <c r="L935">
        <f t="shared" si="99"/>
        <v>34</v>
      </c>
      <c r="M935">
        <f t="shared" si="100"/>
        <v>100</v>
      </c>
      <c r="N935">
        <f t="shared" si="101"/>
        <v>60</v>
      </c>
      <c r="O935">
        <f t="shared" si="102"/>
        <v>62</v>
      </c>
      <c r="P935" t="str">
        <f t="shared" si="103"/>
        <v>Placement Ready</v>
      </c>
      <c r="Q935" t="str">
        <f t="shared" si="104"/>
        <v>Medium</v>
      </c>
    </row>
    <row r="936" spans="1:17" x14ac:dyDescent="0.3">
      <c r="A936">
        <v>1935</v>
      </c>
      <c r="B936">
        <v>10</v>
      </c>
      <c r="C936">
        <v>7</v>
      </c>
      <c r="D936">
        <v>6</v>
      </c>
      <c r="E936">
        <v>3</v>
      </c>
      <c r="F936">
        <v>3</v>
      </c>
      <c r="G936">
        <v>5</v>
      </c>
      <c r="H936">
        <v>56</v>
      </c>
      <c r="I936">
        <v>4</v>
      </c>
      <c r="J936">
        <v>63</v>
      </c>
      <c r="K936">
        <f t="shared" si="98"/>
        <v>5.8</v>
      </c>
      <c r="L936">
        <f t="shared" si="99"/>
        <v>58</v>
      </c>
      <c r="M936">
        <f t="shared" si="100"/>
        <v>40</v>
      </c>
      <c r="N936">
        <f t="shared" si="101"/>
        <v>65</v>
      </c>
      <c r="O936">
        <f t="shared" si="102"/>
        <v>55</v>
      </c>
      <c r="P936" t="str">
        <f t="shared" si="103"/>
        <v>Needs Improvement</v>
      </c>
      <c r="Q936" t="str">
        <f t="shared" si="104"/>
        <v>Medium</v>
      </c>
    </row>
    <row r="937" spans="1:17" x14ac:dyDescent="0.3">
      <c r="A937">
        <v>1936</v>
      </c>
      <c r="B937">
        <v>4</v>
      </c>
      <c r="C937">
        <v>3</v>
      </c>
      <c r="D937">
        <v>8</v>
      </c>
      <c r="E937">
        <v>5</v>
      </c>
      <c r="F937">
        <v>3</v>
      </c>
      <c r="G937">
        <v>7</v>
      </c>
      <c r="H937">
        <v>467</v>
      </c>
      <c r="I937">
        <v>0</v>
      </c>
      <c r="J937">
        <v>60</v>
      </c>
      <c r="K937">
        <f t="shared" si="98"/>
        <v>4.5999999999999996</v>
      </c>
      <c r="L937">
        <f t="shared" si="99"/>
        <v>46</v>
      </c>
      <c r="M937">
        <f t="shared" si="100"/>
        <v>100</v>
      </c>
      <c r="N937">
        <f t="shared" si="101"/>
        <v>35</v>
      </c>
      <c r="O937">
        <f t="shared" si="102"/>
        <v>59</v>
      </c>
      <c r="P937" t="str">
        <f t="shared" si="103"/>
        <v>Needs Improvement</v>
      </c>
      <c r="Q937" t="str">
        <f t="shared" si="104"/>
        <v>Medium</v>
      </c>
    </row>
    <row r="938" spans="1:17" x14ac:dyDescent="0.3">
      <c r="A938">
        <v>1937</v>
      </c>
      <c r="B938">
        <v>10</v>
      </c>
      <c r="C938">
        <v>3</v>
      </c>
      <c r="D938">
        <v>4</v>
      </c>
      <c r="E938">
        <v>4</v>
      </c>
      <c r="F938">
        <v>1</v>
      </c>
      <c r="G938">
        <v>7</v>
      </c>
      <c r="H938">
        <v>402</v>
      </c>
      <c r="I938">
        <v>1</v>
      </c>
      <c r="J938">
        <v>66</v>
      </c>
      <c r="K938">
        <f t="shared" si="98"/>
        <v>4.4000000000000004</v>
      </c>
      <c r="L938">
        <f t="shared" si="99"/>
        <v>44</v>
      </c>
      <c r="M938">
        <f t="shared" si="100"/>
        <v>100</v>
      </c>
      <c r="N938">
        <f t="shared" si="101"/>
        <v>45</v>
      </c>
      <c r="O938">
        <f t="shared" si="102"/>
        <v>61</v>
      </c>
      <c r="P938" t="str">
        <f t="shared" si="103"/>
        <v>Needs Improvement</v>
      </c>
      <c r="Q938" t="str">
        <f t="shared" si="104"/>
        <v>Medium</v>
      </c>
    </row>
    <row r="939" spans="1:17" x14ac:dyDescent="0.3">
      <c r="A939">
        <v>1938</v>
      </c>
      <c r="B939">
        <v>9</v>
      </c>
      <c r="C939">
        <v>9</v>
      </c>
      <c r="D939">
        <v>4</v>
      </c>
      <c r="E939">
        <v>2</v>
      </c>
      <c r="F939">
        <v>7</v>
      </c>
      <c r="G939">
        <v>1</v>
      </c>
      <c r="H939">
        <v>346</v>
      </c>
      <c r="I939">
        <v>3</v>
      </c>
      <c r="J939">
        <v>54</v>
      </c>
      <c r="K939">
        <f t="shared" si="98"/>
        <v>6.2</v>
      </c>
      <c r="L939">
        <f t="shared" si="99"/>
        <v>62</v>
      </c>
      <c r="M939">
        <f t="shared" si="100"/>
        <v>80</v>
      </c>
      <c r="N939">
        <f t="shared" si="101"/>
        <v>35</v>
      </c>
      <c r="O939">
        <f t="shared" si="102"/>
        <v>59</v>
      </c>
      <c r="P939" t="str">
        <f t="shared" si="103"/>
        <v>Needs Improvement</v>
      </c>
      <c r="Q939" t="str">
        <f t="shared" si="104"/>
        <v>Medium</v>
      </c>
    </row>
    <row r="940" spans="1:17" x14ac:dyDescent="0.3">
      <c r="A940">
        <v>1939</v>
      </c>
      <c r="B940">
        <v>9</v>
      </c>
      <c r="C940">
        <v>3</v>
      </c>
      <c r="D940">
        <v>10</v>
      </c>
      <c r="E940">
        <v>6</v>
      </c>
      <c r="F940">
        <v>2</v>
      </c>
      <c r="G940">
        <v>8</v>
      </c>
      <c r="H940">
        <v>324</v>
      </c>
      <c r="I940">
        <v>0</v>
      </c>
      <c r="J940">
        <v>84</v>
      </c>
      <c r="K940">
        <f t="shared" si="98"/>
        <v>6</v>
      </c>
      <c r="L940">
        <f t="shared" si="99"/>
        <v>60</v>
      </c>
      <c r="M940">
        <f t="shared" si="100"/>
        <v>80</v>
      </c>
      <c r="N940">
        <f t="shared" si="101"/>
        <v>40</v>
      </c>
      <c r="O940">
        <f t="shared" si="102"/>
        <v>60</v>
      </c>
      <c r="P940" t="str">
        <f t="shared" si="103"/>
        <v>Placement Ready</v>
      </c>
      <c r="Q940" t="str">
        <f t="shared" si="104"/>
        <v>Medium</v>
      </c>
    </row>
    <row r="941" spans="1:17" x14ac:dyDescent="0.3">
      <c r="A941">
        <v>1940</v>
      </c>
      <c r="B941">
        <v>10</v>
      </c>
      <c r="C941">
        <v>6</v>
      </c>
      <c r="D941">
        <v>6</v>
      </c>
      <c r="E941">
        <v>9</v>
      </c>
      <c r="F941">
        <v>8</v>
      </c>
      <c r="G941">
        <v>3</v>
      </c>
      <c r="H941">
        <v>316</v>
      </c>
      <c r="I941">
        <v>2</v>
      </c>
      <c r="J941">
        <v>62</v>
      </c>
      <c r="K941">
        <f t="shared" si="98"/>
        <v>7.8</v>
      </c>
      <c r="L941">
        <f t="shared" si="99"/>
        <v>78</v>
      </c>
      <c r="M941">
        <f t="shared" si="100"/>
        <v>80</v>
      </c>
      <c r="N941">
        <f t="shared" si="101"/>
        <v>35</v>
      </c>
      <c r="O941">
        <f t="shared" si="102"/>
        <v>66</v>
      </c>
      <c r="P941" t="str">
        <f t="shared" si="103"/>
        <v>Needs Improvement</v>
      </c>
      <c r="Q941" t="str">
        <f t="shared" si="104"/>
        <v>Medium</v>
      </c>
    </row>
    <row r="942" spans="1:17" x14ac:dyDescent="0.3">
      <c r="A942">
        <v>1941</v>
      </c>
      <c r="B942">
        <v>5</v>
      </c>
      <c r="C942">
        <v>5</v>
      </c>
      <c r="D942">
        <v>5</v>
      </c>
      <c r="E942">
        <v>7</v>
      </c>
      <c r="F942">
        <v>9</v>
      </c>
      <c r="G942">
        <v>0</v>
      </c>
      <c r="H942">
        <v>74</v>
      </c>
      <c r="I942">
        <v>2</v>
      </c>
      <c r="J942">
        <v>89</v>
      </c>
      <c r="K942">
        <f t="shared" si="98"/>
        <v>6.2</v>
      </c>
      <c r="L942">
        <f t="shared" si="99"/>
        <v>62</v>
      </c>
      <c r="M942">
        <f t="shared" si="100"/>
        <v>40</v>
      </c>
      <c r="N942">
        <f t="shared" si="101"/>
        <v>20</v>
      </c>
      <c r="O942">
        <f t="shared" si="102"/>
        <v>43</v>
      </c>
      <c r="P942" t="str">
        <f t="shared" si="103"/>
        <v>Placement Ready</v>
      </c>
      <c r="Q942" t="str">
        <f t="shared" si="104"/>
        <v>Medium</v>
      </c>
    </row>
    <row r="943" spans="1:17" x14ac:dyDescent="0.3">
      <c r="A943">
        <v>1942</v>
      </c>
      <c r="B943">
        <v>3</v>
      </c>
      <c r="C943">
        <v>9</v>
      </c>
      <c r="D943">
        <v>3</v>
      </c>
      <c r="E943">
        <v>8</v>
      </c>
      <c r="F943">
        <v>8</v>
      </c>
      <c r="G943">
        <v>3</v>
      </c>
      <c r="H943">
        <v>245</v>
      </c>
      <c r="I943">
        <v>2</v>
      </c>
      <c r="J943">
        <v>40</v>
      </c>
      <c r="K943">
        <f t="shared" si="98"/>
        <v>6.2</v>
      </c>
      <c r="L943">
        <f t="shared" si="99"/>
        <v>62</v>
      </c>
      <c r="M943">
        <f t="shared" si="100"/>
        <v>60</v>
      </c>
      <c r="N943">
        <f t="shared" si="101"/>
        <v>35</v>
      </c>
      <c r="O943">
        <f t="shared" si="102"/>
        <v>53</v>
      </c>
      <c r="P943" t="str">
        <f t="shared" si="103"/>
        <v>Not Ready</v>
      </c>
      <c r="Q943" t="str">
        <f t="shared" si="104"/>
        <v>Medium</v>
      </c>
    </row>
    <row r="944" spans="1:17" x14ac:dyDescent="0.3">
      <c r="A944">
        <v>1943</v>
      </c>
      <c r="B944">
        <v>1</v>
      </c>
      <c r="C944">
        <v>6</v>
      </c>
      <c r="D944">
        <v>9</v>
      </c>
      <c r="E944">
        <v>1</v>
      </c>
      <c r="F944">
        <v>1</v>
      </c>
      <c r="G944">
        <v>2</v>
      </c>
      <c r="H944">
        <v>306</v>
      </c>
      <c r="I944">
        <v>0</v>
      </c>
      <c r="J944">
        <v>50</v>
      </c>
      <c r="K944">
        <f t="shared" si="98"/>
        <v>3.6</v>
      </c>
      <c r="L944">
        <f t="shared" si="99"/>
        <v>36</v>
      </c>
      <c r="M944">
        <f t="shared" si="100"/>
        <v>80</v>
      </c>
      <c r="N944">
        <f t="shared" si="101"/>
        <v>10</v>
      </c>
      <c r="O944">
        <f t="shared" si="102"/>
        <v>41</v>
      </c>
      <c r="P944" t="str">
        <f t="shared" si="103"/>
        <v>Needs Improvement</v>
      </c>
      <c r="Q944" t="str">
        <f t="shared" si="104"/>
        <v>Medium</v>
      </c>
    </row>
    <row r="945" spans="1:17" x14ac:dyDescent="0.3">
      <c r="A945">
        <v>1944</v>
      </c>
      <c r="B945">
        <v>1</v>
      </c>
      <c r="C945">
        <v>4</v>
      </c>
      <c r="D945">
        <v>4</v>
      </c>
      <c r="E945">
        <v>5</v>
      </c>
      <c r="F945">
        <v>2</v>
      </c>
      <c r="G945">
        <v>6</v>
      </c>
      <c r="H945">
        <v>338</v>
      </c>
      <c r="I945">
        <v>3</v>
      </c>
      <c r="J945">
        <v>94</v>
      </c>
      <c r="K945">
        <f t="shared" si="98"/>
        <v>3.2</v>
      </c>
      <c r="L945">
        <f t="shared" si="99"/>
        <v>32</v>
      </c>
      <c r="M945">
        <f t="shared" si="100"/>
        <v>80</v>
      </c>
      <c r="N945">
        <f t="shared" si="101"/>
        <v>60</v>
      </c>
      <c r="O945">
        <f t="shared" si="102"/>
        <v>55</v>
      </c>
      <c r="P945" t="str">
        <f t="shared" si="103"/>
        <v>Placement Ready</v>
      </c>
      <c r="Q945" t="str">
        <f t="shared" si="104"/>
        <v>Medium</v>
      </c>
    </row>
    <row r="946" spans="1:17" x14ac:dyDescent="0.3">
      <c r="A946">
        <v>1945</v>
      </c>
      <c r="B946">
        <v>3</v>
      </c>
      <c r="C946">
        <v>9</v>
      </c>
      <c r="D946">
        <v>5</v>
      </c>
      <c r="E946">
        <v>2</v>
      </c>
      <c r="F946">
        <v>3</v>
      </c>
      <c r="G946">
        <v>6</v>
      </c>
      <c r="H946">
        <v>247</v>
      </c>
      <c r="I946">
        <v>1</v>
      </c>
      <c r="J946">
        <v>64</v>
      </c>
      <c r="K946">
        <f t="shared" si="98"/>
        <v>4.4000000000000004</v>
      </c>
      <c r="L946">
        <f t="shared" si="99"/>
        <v>44</v>
      </c>
      <c r="M946">
        <f t="shared" si="100"/>
        <v>60</v>
      </c>
      <c r="N946">
        <f t="shared" si="101"/>
        <v>40</v>
      </c>
      <c r="O946">
        <f t="shared" si="102"/>
        <v>48</v>
      </c>
      <c r="P946" t="str">
        <f t="shared" si="103"/>
        <v>Needs Improvement</v>
      </c>
      <c r="Q946" t="str">
        <f t="shared" si="104"/>
        <v>Medium</v>
      </c>
    </row>
    <row r="947" spans="1:17" x14ac:dyDescent="0.3">
      <c r="A947">
        <v>1946</v>
      </c>
      <c r="B947">
        <v>1</v>
      </c>
      <c r="C947">
        <v>9</v>
      </c>
      <c r="D947">
        <v>1</v>
      </c>
      <c r="E947">
        <v>7</v>
      </c>
      <c r="F947">
        <v>1</v>
      </c>
      <c r="G947">
        <v>3</v>
      </c>
      <c r="H947">
        <v>318</v>
      </c>
      <c r="I947">
        <v>5</v>
      </c>
      <c r="J947">
        <v>79</v>
      </c>
      <c r="K947">
        <f t="shared" si="98"/>
        <v>3.8</v>
      </c>
      <c r="L947">
        <f t="shared" si="99"/>
        <v>38</v>
      </c>
      <c r="M947">
        <f t="shared" si="100"/>
        <v>80</v>
      </c>
      <c r="N947">
        <f t="shared" si="101"/>
        <v>65</v>
      </c>
      <c r="O947">
        <f t="shared" si="102"/>
        <v>59</v>
      </c>
      <c r="P947" t="str">
        <f t="shared" si="103"/>
        <v>Placement Ready</v>
      </c>
      <c r="Q947" t="str">
        <f t="shared" si="104"/>
        <v>Medium</v>
      </c>
    </row>
    <row r="948" spans="1:17" x14ac:dyDescent="0.3">
      <c r="A948">
        <v>1947</v>
      </c>
      <c r="B948">
        <v>3</v>
      </c>
      <c r="C948">
        <v>1</v>
      </c>
      <c r="D948">
        <v>3</v>
      </c>
      <c r="E948">
        <v>10</v>
      </c>
      <c r="F948">
        <v>6</v>
      </c>
      <c r="G948">
        <v>3</v>
      </c>
      <c r="H948">
        <v>346</v>
      </c>
      <c r="I948">
        <v>5</v>
      </c>
      <c r="J948">
        <v>81</v>
      </c>
      <c r="K948">
        <f t="shared" si="98"/>
        <v>4.5999999999999996</v>
      </c>
      <c r="L948">
        <f t="shared" si="99"/>
        <v>46</v>
      </c>
      <c r="M948">
        <f t="shared" si="100"/>
        <v>80</v>
      </c>
      <c r="N948">
        <f t="shared" si="101"/>
        <v>65</v>
      </c>
      <c r="O948">
        <f t="shared" si="102"/>
        <v>62</v>
      </c>
      <c r="P948" t="str">
        <f t="shared" si="103"/>
        <v>Placement Ready</v>
      </c>
      <c r="Q948" t="str">
        <f t="shared" si="104"/>
        <v>Medium</v>
      </c>
    </row>
    <row r="949" spans="1:17" x14ac:dyDescent="0.3">
      <c r="A949">
        <v>1948</v>
      </c>
      <c r="B949">
        <v>5</v>
      </c>
      <c r="C949">
        <v>6</v>
      </c>
      <c r="D949">
        <v>9</v>
      </c>
      <c r="E949">
        <v>1</v>
      </c>
      <c r="F949">
        <v>1</v>
      </c>
      <c r="G949">
        <v>6</v>
      </c>
      <c r="H949">
        <v>135</v>
      </c>
      <c r="I949">
        <v>2</v>
      </c>
      <c r="J949">
        <v>71</v>
      </c>
      <c r="K949">
        <f t="shared" si="98"/>
        <v>4.4000000000000004</v>
      </c>
      <c r="L949">
        <f t="shared" si="99"/>
        <v>44</v>
      </c>
      <c r="M949">
        <f t="shared" si="100"/>
        <v>40</v>
      </c>
      <c r="N949">
        <f t="shared" si="101"/>
        <v>50</v>
      </c>
      <c r="O949">
        <f t="shared" si="102"/>
        <v>45</v>
      </c>
      <c r="P949" t="str">
        <f t="shared" si="103"/>
        <v>Needs Improvement</v>
      </c>
      <c r="Q949" t="str">
        <f t="shared" si="104"/>
        <v>Medium</v>
      </c>
    </row>
    <row r="950" spans="1:17" x14ac:dyDescent="0.3">
      <c r="A950">
        <v>1949</v>
      </c>
      <c r="B950">
        <v>1</v>
      </c>
      <c r="C950">
        <v>5</v>
      </c>
      <c r="D950">
        <v>10</v>
      </c>
      <c r="E950">
        <v>6</v>
      </c>
      <c r="F950">
        <v>2</v>
      </c>
      <c r="G950">
        <v>2</v>
      </c>
      <c r="H950">
        <v>161</v>
      </c>
      <c r="I950">
        <v>1</v>
      </c>
      <c r="J950">
        <v>56</v>
      </c>
      <c r="K950">
        <f t="shared" si="98"/>
        <v>4.8</v>
      </c>
      <c r="L950">
        <f t="shared" si="99"/>
        <v>48</v>
      </c>
      <c r="M950">
        <f t="shared" si="100"/>
        <v>60</v>
      </c>
      <c r="N950">
        <f t="shared" si="101"/>
        <v>20</v>
      </c>
      <c r="O950">
        <f t="shared" si="102"/>
        <v>43</v>
      </c>
      <c r="P950" t="str">
        <f t="shared" si="103"/>
        <v>Needs Improvement</v>
      </c>
      <c r="Q950" t="str">
        <f t="shared" si="104"/>
        <v>Medium</v>
      </c>
    </row>
    <row r="951" spans="1:17" x14ac:dyDescent="0.3">
      <c r="A951">
        <v>1950</v>
      </c>
      <c r="B951">
        <v>10</v>
      </c>
      <c r="C951">
        <v>6</v>
      </c>
      <c r="D951">
        <v>8</v>
      </c>
      <c r="E951">
        <v>6</v>
      </c>
      <c r="F951">
        <v>6</v>
      </c>
      <c r="G951">
        <v>3</v>
      </c>
      <c r="H951">
        <v>401</v>
      </c>
      <c r="I951">
        <v>4</v>
      </c>
      <c r="J951">
        <v>54</v>
      </c>
      <c r="K951">
        <f t="shared" si="98"/>
        <v>7.2</v>
      </c>
      <c r="L951">
        <f t="shared" si="99"/>
        <v>72</v>
      </c>
      <c r="M951">
        <f t="shared" si="100"/>
        <v>100</v>
      </c>
      <c r="N951">
        <f t="shared" si="101"/>
        <v>55</v>
      </c>
      <c r="O951">
        <f t="shared" si="102"/>
        <v>75</v>
      </c>
      <c r="P951" t="str">
        <f t="shared" si="103"/>
        <v>Needs Improvement</v>
      </c>
      <c r="Q951" t="str">
        <f t="shared" si="104"/>
        <v>High</v>
      </c>
    </row>
    <row r="952" spans="1:17" x14ac:dyDescent="0.3">
      <c r="A952">
        <v>1951</v>
      </c>
      <c r="B952">
        <v>8</v>
      </c>
      <c r="C952">
        <v>3</v>
      </c>
      <c r="D952">
        <v>2</v>
      </c>
      <c r="E952">
        <v>4</v>
      </c>
      <c r="F952">
        <v>3</v>
      </c>
      <c r="G952">
        <v>7</v>
      </c>
      <c r="H952">
        <v>485</v>
      </c>
      <c r="I952">
        <v>2</v>
      </c>
      <c r="J952">
        <v>92</v>
      </c>
      <c r="K952">
        <f t="shared" si="98"/>
        <v>4</v>
      </c>
      <c r="L952">
        <f t="shared" si="99"/>
        <v>40</v>
      </c>
      <c r="M952">
        <f t="shared" si="100"/>
        <v>100</v>
      </c>
      <c r="N952">
        <f t="shared" si="101"/>
        <v>55</v>
      </c>
      <c r="O952">
        <f t="shared" si="102"/>
        <v>63</v>
      </c>
      <c r="P952" t="str">
        <f t="shared" si="103"/>
        <v>Placement Ready</v>
      </c>
      <c r="Q952" t="str">
        <f t="shared" si="104"/>
        <v>Medium</v>
      </c>
    </row>
    <row r="953" spans="1:17" x14ac:dyDescent="0.3">
      <c r="A953">
        <v>1952</v>
      </c>
      <c r="B953">
        <v>2</v>
      </c>
      <c r="C953">
        <v>3</v>
      </c>
      <c r="D953">
        <v>5</v>
      </c>
      <c r="E953">
        <v>2</v>
      </c>
      <c r="F953">
        <v>6</v>
      </c>
      <c r="G953">
        <v>5</v>
      </c>
      <c r="H953">
        <v>488</v>
      </c>
      <c r="I953">
        <v>2</v>
      </c>
      <c r="J953">
        <v>95</v>
      </c>
      <c r="K953">
        <f t="shared" si="98"/>
        <v>3.6</v>
      </c>
      <c r="L953">
        <f t="shared" si="99"/>
        <v>36</v>
      </c>
      <c r="M953">
        <f t="shared" si="100"/>
        <v>100</v>
      </c>
      <c r="N953">
        <f t="shared" si="101"/>
        <v>45</v>
      </c>
      <c r="O953">
        <f t="shared" si="102"/>
        <v>58</v>
      </c>
      <c r="P953" t="str">
        <f t="shared" si="103"/>
        <v>Placement Ready</v>
      </c>
      <c r="Q953" t="str">
        <f t="shared" si="104"/>
        <v>Medium</v>
      </c>
    </row>
    <row r="954" spans="1:17" x14ac:dyDescent="0.3">
      <c r="A954">
        <v>1953</v>
      </c>
      <c r="B954">
        <v>7</v>
      </c>
      <c r="C954">
        <v>7</v>
      </c>
      <c r="D954">
        <v>9</v>
      </c>
      <c r="E954">
        <v>7</v>
      </c>
      <c r="F954">
        <v>7</v>
      </c>
      <c r="G954">
        <v>1</v>
      </c>
      <c r="H954">
        <v>347</v>
      </c>
      <c r="I954">
        <v>4</v>
      </c>
      <c r="J954">
        <v>51</v>
      </c>
      <c r="K954">
        <f t="shared" si="98"/>
        <v>7.4</v>
      </c>
      <c r="L954">
        <f t="shared" si="99"/>
        <v>74</v>
      </c>
      <c r="M954">
        <f t="shared" si="100"/>
        <v>80</v>
      </c>
      <c r="N954">
        <f t="shared" si="101"/>
        <v>45</v>
      </c>
      <c r="O954">
        <f t="shared" si="102"/>
        <v>67</v>
      </c>
      <c r="P954" t="str">
        <f t="shared" si="103"/>
        <v>Needs Improvement</v>
      </c>
      <c r="Q954" t="str">
        <f t="shared" si="104"/>
        <v>Medium</v>
      </c>
    </row>
    <row r="955" spans="1:17" x14ac:dyDescent="0.3">
      <c r="A955">
        <v>1954</v>
      </c>
      <c r="B955">
        <v>10</v>
      </c>
      <c r="C955">
        <v>9</v>
      </c>
      <c r="D955">
        <v>10</v>
      </c>
      <c r="E955">
        <v>4</v>
      </c>
      <c r="F955">
        <v>3</v>
      </c>
      <c r="G955">
        <v>7</v>
      </c>
      <c r="H955">
        <v>432</v>
      </c>
      <c r="I955">
        <v>5</v>
      </c>
      <c r="J955">
        <v>91</v>
      </c>
      <c r="K955">
        <f t="shared" si="98"/>
        <v>7.2</v>
      </c>
      <c r="L955">
        <f t="shared" si="99"/>
        <v>72</v>
      </c>
      <c r="M955">
        <f t="shared" si="100"/>
        <v>100</v>
      </c>
      <c r="N955">
        <f t="shared" si="101"/>
        <v>85</v>
      </c>
      <c r="O955">
        <f t="shared" si="102"/>
        <v>84</v>
      </c>
      <c r="P955" t="str">
        <f t="shared" si="103"/>
        <v>Placement Ready</v>
      </c>
      <c r="Q955" t="str">
        <f t="shared" si="104"/>
        <v>High</v>
      </c>
    </row>
    <row r="956" spans="1:17" x14ac:dyDescent="0.3">
      <c r="A956">
        <v>1955</v>
      </c>
      <c r="B956">
        <v>9</v>
      </c>
      <c r="C956">
        <v>7</v>
      </c>
      <c r="D956">
        <v>8</v>
      </c>
      <c r="E956">
        <v>4</v>
      </c>
      <c r="F956">
        <v>10</v>
      </c>
      <c r="G956">
        <v>7</v>
      </c>
      <c r="H956">
        <v>190</v>
      </c>
      <c r="I956">
        <v>2</v>
      </c>
      <c r="J956">
        <v>82</v>
      </c>
      <c r="K956">
        <f t="shared" si="98"/>
        <v>7.6</v>
      </c>
      <c r="L956">
        <f t="shared" si="99"/>
        <v>76</v>
      </c>
      <c r="M956">
        <f t="shared" si="100"/>
        <v>60</v>
      </c>
      <c r="N956">
        <f t="shared" si="101"/>
        <v>55</v>
      </c>
      <c r="O956">
        <f t="shared" si="102"/>
        <v>65</v>
      </c>
      <c r="P956" t="str">
        <f t="shared" si="103"/>
        <v>Placement Ready</v>
      </c>
      <c r="Q956" t="str">
        <f t="shared" si="104"/>
        <v>Medium</v>
      </c>
    </row>
    <row r="957" spans="1:17" x14ac:dyDescent="0.3">
      <c r="A957">
        <v>1956</v>
      </c>
      <c r="B957">
        <v>10</v>
      </c>
      <c r="C957">
        <v>4</v>
      </c>
      <c r="D957">
        <v>6</v>
      </c>
      <c r="E957">
        <v>1</v>
      </c>
      <c r="F957">
        <v>4</v>
      </c>
      <c r="G957">
        <v>4</v>
      </c>
      <c r="H957">
        <v>120</v>
      </c>
      <c r="I957">
        <v>1</v>
      </c>
      <c r="J957">
        <v>53</v>
      </c>
      <c r="K957">
        <f t="shared" si="98"/>
        <v>5</v>
      </c>
      <c r="L957">
        <f t="shared" si="99"/>
        <v>50</v>
      </c>
      <c r="M957">
        <f t="shared" si="100"/>
        <v>40</v>
      </c>
      <c r="N957">
        <f t="shared" si="101"/>
        <v>30</v>
      </c>
      <c r="O957">
        <f t="shared" si="102"/>
        <v>41</v>
      </c>
      <c r="P957" t="str">
        <f t="shared" si="103"/>
        <v>Needs Improvement</v>
      </c>
      <c r="Q957" t="str">
        <f t="shared" si="104"/>
        <v>Medium</v>
      </c>
    </row>
    <row r="958" spans="1:17" x14ac:dyDescent="0.3">
      <c r="A958">
        <v>1957</v>
      </c>
      <c r="B958">
        <v>7</v>
      </c>
      <c r="C958">
        <v>1</v>
      </c>
      <c r="D958">
        <v>10</v>
      </c>
      <c r="E958">
        <v>9</v>
      </c>
      <c r="F958">
        <v>2</v>
      </c>
      <c r="G958">
        <v>3</v>
      </c>
      <c r="H958">
        <v>88</v>
      </c>
      <c r="I958">
        <v>3</v>
      </c>
      <c r="J958">
        <v>47</v>
      </c>
      <c r="K958">
        <f t="shared" si="98"/>
        <v>5.8</v>
      </c>
      <c r="L958">
        <f t="shared" si="99"/>
        <v>58</v>
      </c>
      <c r="M958">
        <f t="shared" si="100"/>
        <v>40</v>
      </c>
      <c r="N958">
        <f t="shared" si="101"/>
        <v>45</v>
      </c>
      <c r="O958">
        <f t="shared" si="102"/>
        <v>49</v>
      </c>
      <c r="P958" t="str">
        <f t="shared" si="103"/>
        <v>Not Ready</v>
      </c>
      <c r="Q958" t="str">
        <f t="shared" si="104"/>
        <v>Medium</v>
      </c>
    </row>
    <row r="959" spans="1:17" x14ac:dyDescent="0.3">
      <c r="A959">
        <v>1958</v>
      </c>
      <c r="B959">
        <v>4</v>
      </c>
      <c r="C959">
        <v>10</v>
      </c>
      <c r="D959">
        <v>8</v>
      </c>
      <c r="E959">
        <v>10</v>
      </c>
      <c r="F959">
        <v>7</v>
      </c>
      <c r="G959">
        <v>7</v>
      </c>
      <c r="H959">
        <v>462</v>
      </c>
      <c r="I959">
        <v>1</v>
      </c>
      <c r="J959">
        <v>85</v>
      </c>
      <c r="K959">
        <f t="shared" si="98"/>
        <v>7.8</v>
      </c>
      <c r="L959">
        <f t="shared" si="99"/>
        <v>78</v>
      </c>
      <c r="M959">
        <f t="shared" si="100"/>
        <v>100</v>
      </c>
      <c r="N959">
        <f t="shared" si="101"/>
        <v>45</v>
      </c>
      <c r="O959">
        <f t="shared" si="102"/>
        <v>75</v>
      </c>
      <c r="P959" t="str">
        <f t="shared" si="103"/>
        <v>Placement Ready</v>
      </c>
      <c r="Q959" t="str">
        <f t="shared" si="104"/>
        <v>High</v>
      </c>
    </row>
    <row r="960" spans="1:17" x14ac:dyDescent="0.3">
      <c r="A960">
        <v>1959</v>
      </c>
      <c r="B960">
        <v>2</v>
      </c>
      <c r="C960">
        <v>7</v>
      </c>
      <c r="D960">
        <v>9</v>
      </c>
      <c r="E960">
        <v>2</v>
      </c>
      <c r="F960">
        <v>8</v>
      </c>
      <c r="G960">
        <v>1</v>
      </c>
      <c r="H960">
        <v>119</v>
      </c>
      <c r="I960">
        <v>0</v>
      </c>
      <c r="J960">
        <v>78</v>
      </c>
      <c r="K960">
        <f t="shared" si="98"/>
        <v>5.6</v>
      </c>
      <c r="L960">
        <f t="shared" si="99"/>
        <v>56</v>
      </c>
      <c r="M960">
        <f t="shared" si="100"/>
        <v>40</v>
      </c>
      <c r="N960">
        <f t="shared" si="101"/>
        <v>5</v>
      </c>
      <c r="O960">
        <f t="shared" si="102"/>
        <v>36</v>
      </c>
      <c r="P960" t="str">
        <f t="shared" si="103"/>
        <v>Placement Ready</v>
      </c>
      <c r="Q960" t="str">
        <f t="shared" si="104"/>
        <v>Low</v>
      </c>
    </row>
    <row r="961" spans="1:17" x14ac:dyDescent="0.3">
      <c r="A961">
        <v>1960</v>
      </c>
      <c r="B961">
        <v>1</v>
      </c>
      <c r="C961">
        <v>10</v>
      </c>
      <c r="D961">
        <v>9</v>
      </c>
      <c r="E961">
        <v>5</v>
      </c>
      <c r="F961">
        <v>10</v>
      </c>
      <c r="G961">
        <v>6</v>
      </c>
      <c r="H961">
        <v>408</v>
      </c>
      <c r="I961">
        <v>5</v>
      </c>
      <c r="J961">
        <v>89</v>
      </c>
      <c r="K961">
        <f t="shared" si="98"/>
        <v>7</v>
      </c>
      <c r="L961">
        <f t="shared" si="99"/>
        <v>70</v>
      </c>
      <c r="M961">
        <f t="shared" si="100"/>
        <v>100</v>
      </c>
      <c r="N961">
        <f t="shared" si="101"/>
        <v>80</v>
      </c>
      <c r="O961">
        <f t="shared" si="102"/>
        <v>82</v>
      </c>
      <c r="P961" t="str">
        <f t="shared" si="103"/>
        <v>Placement Ready</v>
      </c>
      <c r="Q961" t="str">
        <f t="shared" si="104"/>
        <v>High</v>
      </c>
    </row>
    <row r="962" spans="1:17" x14ac:dyDescent="0.3">
      <c r="A962">
        <v>1961</v>
      </c>
      <c r="B962">
        <v>3</v>
      </c>
      <c r="C962">
        <v>7</v>
      </c>
      <c r="D962">
        <v>7</v>
      </c>
      <c r="E962">
        <v>10</v>
      </c>
      <c r="F962">
        <v>6</v>
      </c>
      <c r="G962">
        <v>8</v>
      </c>
      <c r="H962">
        <v>279</v>
      </c>
      <c r="I962">
        <v>4</v>
      </c>
      <c r="J962">
        <v>48</v>
      </c>
      <c r="K962">
        <f t="shared" si="98"/>
        <v>6.6</v>
      </c>
      <c r="L962">
        <f t="shared" si="99"/>
        <v>66</v>
      </c>
      <c r="M962">
        <f t="shared" si="100"/>
        <v>80</v>
      </c>
      <c r="N962">
        <f t="shared" si="101"/>
        <v>80</v>
      </c>
      <c r="O962">
        <f t="shared" si="102"/>
        <v>74</v>
      </c>
      <c r="P962" t="str">
        <f t="shared" si="103"/>
        <v>Not Ready</v>
      </c>
      <c r="Q962" t="str">
        <f t="shared" si="104"/>
        <v>High</v>
      </c>
    </row>
    <row r="963" spans="1:17" x14ac:dyDescent="0.3">
      <c r="A963">
        <v>1962</v>
      </c>
      <c r="B963">
        <v>1</v>
      </c>
      <c r="C963">
        <v>3</v>
      </c>
      <c r="D963">
        <v>3</v>
      </c>
      <c r="E963">
        <v>5</v>
      </c>
      <c r="F963">
        <v>10</v>
      </c>
      <c r="G963">
        <v>2</v>
      </c>
      <c r="H963">
        <v>154</v>
      </c>
      <c r="I963">
        <v>2</v>
      </c>
      <c r="J963">
        <v>54</v>
      </c>
      <c r="K963">
        <f t="shared" ref="K963:K999" si="105">AVERAGE(B963:F963)</f>
        <v>4.4000000000000004</v>
      </c>
      <c r="L963">
        <f t="shared" ref="L963:L1001" si="106">K963*10</f>
        <v>44</v>
      </c>
      <c r="M963">
        <f t="shared" ref="M963:M1001" si="107">IF(H963&gt;=400,100,IF(H963&gt;=250,80,IF(H963&gt;=150,60,40)))</f>
        <v>60</v>
      </c>
      <c r="N963">
        <f t="shared" ref="N963:N1001" si="108">(G963*5)+(I963*10)</f>
        <v>30</v>
      </c>
      <c r="O963">
        <f t="shared" ref="O963:O1001" si="109">ROUND((L963*0.4)+(M963*0.3)+(N963*0.3),0)</f>
        <v>45</v>
      </c>
      <c r="P963" t="str">
        <f t="shared" ref="P963:P997" si="110">IF(J963&gt;=75,"Placement Ready",IF(J963&gt;=50,"Needs Improvement","Not Ready"))</f>
        <v>Needs Improvement</v>
      </c>
      <c r="Q963" t="str">
        <f t="shared" ref="Q963:Q999" si="111">IF(O963&lt;40,"Low",IF(O963&lt;=70,"Medium","High"))</f>
        <v>Medium</v>
      </c>
    </row>
    <row r="964" spans="1:17" x14ac:dyDescent="0.3">
      <c r="A964">
        <v>1963</v>
      </c>
      <c r="B964">
        <v>4</v>
      </c>
      <c r="C964">
        <v>6</v>
      </c>
      <c r="D964">
        <v>9</v>
      </c>
      <c r="E964">
        <v>8</v>
      </c>
      <c r="F964">
        <v>5</v>
      </c>
      <c r="G964">
        <v>8</v>
      </c>
      <c r="H964">
        <v>286</v>
      </c>
      <c r="I964">
        <v>1</v>
      </c>
      <c r="J964">
        <v>93</v>
      </c>
      <c r="K964">
        <f t="shared" si="105"/>
        <v>6.4</v>
      </c>
      <c r="L964">
        <f t="shared" si="106"/>
        <v>64</v>
      </c>
      <c r="M964">
        <f t="shared" si="107"/>
        <v>80</v>
      </c>
      <c r="N964">
        <f t="shared" si="108"/>
        <v>50</v>
      </c>
      <c r="O964">
        <f t="shared" si="109"/>
        <v>65</v>
      </c>
      <c r="P964" t="str">
        <f t="shared" si="110"/>
        <v>Placement Ready</v>
      </c>
      <c r="Q964" t="str">
        <f t="shared" si="111"/>
        <v>Medium</v>
      </c>
    </row>
    <row r="965" spans="1:17" x14ac:dyDescent="0.3">
      <c r="A965">
        <v>1964</v>
      </c>
      <c r="B965">
        <v>10</v>
      </c>
      <c r="C965">
        <v>7</v>
      </c>
      <c r="D965">
        <v>7</v>
      </c>
      <c r="E965">
        <v>3</v>
      </c>
      <c r="F965">
        <v>8</v>
      </c>
      <c r="G965">
        <v>7</v>
      </c>
      <c r="H965">
        <v>328</v>
      </c>
      <c r="I965">
        <v>0</v>
      </c>
      <c r="J965">
        <v>81</v>
      </c>
      <c r="K965">
        <f t="shared" si="105"/>
        <v>7</v>
      </c>
      <c r="L965">
        <f t="shared" si="106"/>
        <v>70</v>
      </c>
      <c r="M965">
        <f t="shared" si="107"/>
        <v>80</v>
      </c>
      <c r="N965">
        <f t="shared" si="108"/>
        <v>35</v>
      </c>
      <c r="O965">
        <f t="shared" si="109"/>
        <v>63</v>
      </c>
      <c r="P965" t="str">
        <f t="shared" si="110"/>
        <v>Placement Ready</v>
      </c>
      <c r="Q965" t="str">
        <f t="shared" si="111"/>
        <v>Medium</v>
      </c>
    </row>
    <row r="966" spans="1:17" x14ac:dyDescent="0.3">
      <c r="A966">
        <v>1965</v>
      </c>
      <c r="B966">
        <v>1</v>
      </c>
      <c r="C966">
        <v>10</v>
      </c>
      <c r="D966">
        <v>2</v>
      </c>
      <c r="E966">
        <v>7</v>
      </c>
      <c r="F966">
        <v>8</v>
      </c>
      <c r="G966">
        <v>2</v>
      </c>
      <c r="H966">
        <v>60</v>
      </c>
      <c r="I966">
        <v>5</v>
      </c>
      <c r="J966">
        <v>45</v>
      </c>
      <c r="K966">
        <f t="shared" si="105"/>
        <v>5.6</v>
      </c>
      <c r="L966">
        <f t="shared" si="106"/>
        <v>56</v>
      </c>
      <c r="M966">
        <f t="shared" si="107"/>
        <v>40</v>
      </c>
      <c r="N966">
        <f t="shared" si="108"/>
        <v>60</v>
      </c>
      <c r="O966">
        <f t="shared" si="109"/>
        <v>52</v>
      </c>
      <c r="P966" t="str">
        <f t="shared" si="110"/>
        <v>Not Ready</v>
      </c>
      <c r="Q966" t="str">
        <f t="shared" si="111"/>
        <v>Medium</v>
      </c>
    </row>
    <row r="967" spans="1:17" x14ac:dyDescent="0.3">
      <c r="A967">
        <v>1966</v>
      </c>
      <c r="B967">
        <v>4</v>
      </c>
      <c r="C967">
        <v>10</v>
      </c>
      <c r="D967">
        <v>10</v>
      </c>
      <c r="E967">
        <v>8</v>
      </c>
      <c r="F967">
        <v>5</v>
      </c>
      <c r="G967">
        <v>3</v>
      </c>
      <c r="H967">
        <v>80</v>
      </c>
      <c r="I967">
        <v>2</v>
      </c>
      <c r="J967">
        <v>43</v>
      </c>
      <c r="K967">
        <f t="shared" si="105"/>
        <v>7.4</v>
      </c>
      <c r="L967">
        <f t="shared" si="106"/>
        <v>74</v>
      </c>
      <c r="M967">
        <f t="shared" si="107"/>
        <v>40</v>
      </c>
      <c r="N967">
        <f t="shared" si="108"/>
        <v>35</v>
      </c>
      <c r="O967">
        <f t="shared" si="109"/>
        <v>52</v>
      </c>
      <c r="P967" t="str">
        <f t="shared" si="110"/>
        <v>Not Ready</v>
      </c>
      <c r="Q967" t="str">
        <f t="shared" si="111"/>
        <v>Medium</v>
      </c>
    </row>
    <row r="968" spans="1:17" x14ac:dyDescent="0.3">
      <c r="A968">
        <v>1967</v>
      </c>
      <c r="B968">
        <v>5</v>
      </c>
      <c r="C968">
        <v>5</v>
      </c>
      <c r="D968">
        <v>9</v>
      </c>
      <c r="E968">
        <v>8</v>
      </c>
      <c r="F968">
        <v>3</v>
      </c>
      <c r="G968">
        <v>3</v>
      </c>
      <c r="H968">
        <v>444</v>
      </c>
      <c r="I968">
        <v>0</v>
      </c>
      <c r="J968">
        <v>81</v>
      </c>
      <c r="K968">
        <f t="shared" si="105"/>
        <v>6</v>
      </c>
      <c r="L968">
        <f t="shared" si="106"/>
        <v>60</v>
      </c>
      <c r="M968">
        <f t="shared" si="107"/>
        <v>100</v>
      </c>
      <c r="N968">
        <f t="shared" si="108"/>
        <v>15</v>
      </c>
      <c r="O968">
        <f t="shared" si="109"/>
        <v>59</v>
      </c>
      <c r="P968" t="str">
        <f t="shared" si="110"/>
        <v>Placement Ready</v>
      </c>
      <c r="Q968" t="str">
        <f t="shared" si="111"/>
        <v>Medium</v>
      </c>
    </row>
    <row r="969" spans="1:17" x14ac:dyDescent="0.3">
      <c r="A969">
        <v>1968</v>
      </c>
      <c r="B969">
        <v>1</v>
      </c>
      <c r="C969">
        <v>9</v>
      </c>
      <c r="D969">
        <v>9</v>
      </c>
      <c r="E969">
        <v>5</v>
      </c>
      <c r="F969">
        <v>3</v>
      </c>
      <c r="G969">
        <v>5</v>
      </c>
      <c r="H969">
        <v>111</v>
      </c>
      <c r="I969">
        <v>1</v>
      </c>
      <c r="J969">
        <v>43</v>
      </c>
      <c r="K969">
        <f t="shared" si="105"/>
        <v>5.4</v>
      </c>
      <c r="L969">
        <f t="shared" si="106"/>
        <v>54</v>
      </c>
      <c r="M969">
        <f t="shared" si="107"/>
        <v>40</v>
      </c>
      <c r="N969">
        <f t="shared" si="108"/>
        <v>35</v>
      </c>
      <c r="O969">
        <f t="shared" si="109"/>
        <v>44</v>
      </c>
      <c r="P969" t="str">
        <f t="shared" si="110"/>
        <v>Not Ready</v>
      </c>
      <c r="Q969" t="str">
        <f t="shared" si="111"/>
        <v>Medium</v>
      </c>
    </row>
    <row r="970" spans="1:17" x14ac:dyDescent="0.3">
      <c r="A970">
        <v>1969</v>
      </c>
      <c r="B970">
        <v>8</v>
      </c>
      <c r="C970">
        <v>10</v>
      </c>
      <c r="D970">
        <v>5</v>
      </c>
      <c r="E970">
        <v>10</v>
      </c>
      <c r="F970">
        <v>8</v>
      </c>
      <c r="G970">
        <v>5</v>
      </c>
      <c r="H970">
        <v>256</v>
      </c>
      <c r="I970">
        <v>0</v>
      </c>
      <c r="J970">
        <v>80</v>
      </c>
      <c r="K970">
        <f t="shared" si="105"/>
        <v>8.1999999999999993</v>
      </c>
      <c r="L970">
        <f t="shared" si="106"/>
        <v>82</v>
      </c>
      <c r="M970">
        <f t="shared" si="107"/>
        <v>80</v>
      </c>
      <c r="N970">
        <f t="shared" si="108"/>
        <v>25</v>
      </c>
      <c r="O970">
        <f t="shared" si="109"/>
        <v>64</v>
      </c>
      <c r="P970" t="str">
        <f t="shared" si="110"/>
        <v>Placement Ready</v>
      </c>
      <c r="Q970" t="str">
        <f t="shared" si="111"/>
        <v>Medium</v>
      </c>
    </row>
    <row r="971" spans="1:17" x14ac:dyDescent="0.3">
      <c r="A971">
        <v>1970</v>
      </c>
      <c r="B971">
        <v>7</v>
      </c>
      <c r="C971">
        <v>4</v>
      </c>
      <c r="D971">
        <v>5</v>
      </c>
      <c r="E971">
        <v>10</v>
      </c>
      <c r="F971">
        <v>6</v>
      </c>
      <c r="G971">
        <v>5</v>
      </c>
      <c r="H971">
        <v>316</v>
      </c>
      <c r="I971">
        <v>3</v>
      </c>
      <c r="J971">
        <v>87</v>
      </c>
      <c r="K971">
        <f t="shared" si="105"/>
        <v>6.4</v>
      </c>
      <c r="L971">
        <f t="shared" si="106"/>
        <v>64</v>
      </c>
      <c r="M971">
        <f t="shared" si="107"/>
        <v>80</v>
      </c>
      <c r="N971">
        <f t="shared" si="108"/>
        <v>55</v>
      </c>
      <c r="O971">
        <f t="shared" si="109"/>
        <v>66</v>
      </c>
      <c r="P971" t="str">
        <f t="shared" si="110"/>
        <v>Placement Ready</v>
      </c>
      <c r="Q971" t="str">
        <f t="shared" si="111"/>
        <v>Medium</v>
      </c>
    </row>
    <row r="972" spans="1:17" x14ac:dyDescent="0.3">
      <c r="A972">
        <v>1971</v>
      </c>
      <c r="B972">
        <v>3</v>
      </c>
      <c r="C972">
        <v>2</v>
      </c>
      <c r="D972">
        <v>9</v>
      </c>
      <c r="E972">
        <v>5</v>
      </c>
      <c r="F972">
        <v>4</v>
      </c>
      <c r="G972">
        <v>8</v>
      </c>
      <c r="H972">
        <v>68</v>
      </c>
      <c r="I972">
        <v>0</v>
      </c>
      <c r="J972">
        <v>80</v>
      </c>
      <c r="K972">
        <f t="shared" si="105"/>
        <v>4.5999999999999996</v>
      </c>
      <c r="L972">
        <f t="shared" si="106"/>
        <v>46</v>
      </c>
      <c r="M972">
        <f t="shared" si="107"/>
        <v>40</v>
      </c>
      <c r="N972">
        <f t="shared" si="108"/>
        <v>40</v>
      </c>
      <c r="O972">
        <f t="shared" si="109"/>
        <v>42</v>
      </c>
      <c r="P972" t="str">
        <f t="shared" si="110"/>
        <v>Placement Ready</v>
      </c>
      <c r="Q972" t="str">
        <f t="shared" si="111"/>
        <v>Medium</v>
      </c>
    </row>
    <row r="973" spans="1:17" x14ac:dyDescent="0.3">
      <c r="A973">
        <v>1972</v>
      </c>
      <c r="B973">
        <v>5</v>
      </c>
      <c r="C973">
        <v>7</v>
      </c>
      <c r="D973">
        <v>10</v>
      </c>
      <c r="E973">
        <v>3</v>
      </c>
      <c r="F973">
        <v>9</v>
      </c>
      <c r="G973">
        <v>7</v>
      </c>
      <c r="H973">
        <v>318</v>
      </c>
      <c r="I973">
        <v>5</v>
      </c>
      <c r="J973">
        <v>95</v>
      </c>
      <c r="K973">
        <f t="shared" si="105"/>
        <v>6.8</v>
      </c>
      <c r="L973">
        <f t="shared" si="106"/>
        <v>68</v>
      </c>
      <c r="M973">
        <f t="shared" si="107"/>
        <v>80</v>
      </c>
      <c r="N973">
        <f t="shared" si="108"/>
        <v>85</v>
      </c>
      <c r="O973">
        <f t="shared" si="109"/>
        <v>77</v>
      </c>
      <c r="P973" t="str">
        <f t="shared" si="110"/>
        <v>Placement Ready</v>
      </c>
      <c r="Q973" t="str">
        <f t="shared" si="111"/>
        <v>High</v>
      </c>
    </row>
    <row r="974" spans="1:17" x14ac:dyDescent="0.3">
      <c r="A974">
        <v>1973</v>
      </c>
      <c r="B974">
        <v>6</v>
      </c>
      <c r="C974">
        <v>10</v>
      </c>
      <c r="D974">
        <v>1</v>
      </c>
      <c r="E974">
        <v>6</v>
      </c>
      <c r="F974">
        <v>6</v>
      </c>
      <c r="G974">
        <v>2</v>
      </c>
      <c r="H974">
        <v>470</v>
      </c>
      <c r="I974">
        <v>3</v>
      </c>
      <c r="J974">
        <v>89</v>
      </c>
      <c r="K974">
        <f t="shared" si="105"/>
        <v>5.8</v>
      </c>
      <c r="L974">
        <f t="shared" si="106"/>
        <v>58</v>
      </c>
      <c r="M974">
        <f t="shared" si="107"/>
        <v>100</v>
      </c>
      <c r="N974">
        <f t="shared" si="108"/>
        <v>40</v>
      </c>
      <c r="O974">
        <f t="shared" si="109"/>
        <v>65</v>
      </c>
      <c r="P974" t="str">
        <f t="shared" si="110"/>
        <v>Placement Ready</v>
      </c>
      <c r="Q974" t="str">
        <f t="shared" si="111"/>
        <v>Medium</v>
      </c>
    </row>
    <row r="975" spans="1:17" x14ac:dyDescent="0.3">
      <c r="A975">
        <v>1974</v>
      </c>
      <c r="B975">
        <v>8</v>
      </c>
      <c r="C975">
        <v>10</v>
      </c>
      <c r="D975">
        <v>2</v>
      </c>
      <c r="E975">
        <v>4</v>
      </c>
      <c r="F975">
        <v>6</v>
      </c>
      <c r="G975">
        <v>3</v>
      </c>
      <c r="H975">
        <v>125</v>
      </c>
      <c r="I975">
        <v>1</v>
      </c>
      <c r="J975">
        <v>42</v>
      </c>
      <c r="K975">
        <f t="shared" si="105"/>
        <v>6</v>
      </c>
      <c r="L975">
        <f t="shared" si="106"/>
        <v>60</v>
      </c>
      <c r="M975">
        <f t="shared" si="107"/>
        <v>40</v>
      </c>
      <c r="N975">
        <f t="shared" si="108"/>
        <v>25</v>
      </c>
      <c r="O975">
        <f t="shared" si="109"/>
        <v>44</v>
      </c>
      <c r="P975" t="str">
        <f t="shared" si="110"/>
        <v>Not Ready</v>
      </c>
      <c r="Q975" t="str">
        <f t="shared" si="111"/>
        <v>Medium</v>
      </c>
    </row>
    <row r="976" spans="1:17" x14ac:dyDescent="0.3">
      <c r="A976">
        <v>1975</v>
      </c>
      <c r="B976">
        <v>6</v>
      </c>
      <c r="C976">
        <v>7</v>
      </c>
      <c r="D976">
        <v>7</v>
      </c>
      <c r="E976">
        <v>5</v>
      </c>
      <c r="F976">
        <v>2</v>
      </c>
      <c r="G976">
        <v>2</v>
      </c>
      <c r="H976">
        <v>304</v>
      </c>
      <c r="I976">
        <v>5</v>
      </c>
      <c r="J976">
        <v>90</v>
      </c>
      <c r="K976">
        <f t="shared" si="105"/>
        <v>5.4</v>
      </c>
      <c r="L976">
        <f t="shared" si="106"/>
        <v>54</v>
      </c>
      <c r="M976">
        <f t="shared" si="107"/>
        <v>80</v>
      </c>
      <c r="N976">
        <f t="shared" si="108"/>
        <v>60</v>
      </c>
      <c r="O976">
        <f t="shared" si="109"/>
        <v>64</v>
      </c>
      <c r="P976" t="str">
        <f t="shared" si="110"/>
        <v>Placement Ready</v>
      </c>
      <c r="Q976" t="str">
        <f t="shared" si="111"/>
        <v>Medium</v>
      </c>
    </row>
    <row r="977" spans="1:17" x14ac:dyDescent="0.3">
      <c r="A977">
        <v>1976</v>
      </c>
      <c r="B977">
        <v>1</v>
      </c>
      <c r="C977">
        <v>2</v>
      </c>
      <c r="D977">
        <v>3</v>
      </c>
      <c r="E977">
        <v>1</v>
      </c>
      <c r="F977">
        <v>5</v>
      </c>
      <c r="G977">
        <v>3</v>
      </c>
      <c r="H977">
        <v>60</v>
      </c>
      <c r="I977">
        <v>5</v>
      </c>
      <c r="J977">
        <v>91</v>
      </c>
      <c r="K977">
        <f t="shared" si="105"/>
        <v>2.4</v>
      </c>
      <c r="L977">
        <f t="shared" si="106"/>
        <v>24</v>
      </c>
      <c r="M977">
        <f t="shared" si="107"/>
        <v>40</v>
      </c>
      <c r="N977">
        <f t="shared" si="108"/>
        <v>65</v>
      </c>
      <c r="O977">
        <f t="shared" si="109"/>
        <v>41</v>
      </c>
      <c r="P977" t="str">
        <f t="shared" si="110"/>
        <v>Placement Ready</v>
      </c>
      <c r="Q977" t="str">
        <f t="shared" si="111"/>
        <v>Medium</v>
      </c>
    </row>
    <row r="978" spans="1:17" x14ac:dyDescent="0.3">
      <c r="A978">
        <v>1977</v>
      </c>
      <c r="B978">
        <v>7</v>
      </c>
      <c r="C978">
        <v>8</v>
      </c>
      <c r="D978">
        <v>2</v>
      </c>
      <c r="E978">
        <v>2</v>
      </c>
      <c r="F978">
        <v>3</v>
      </c>
      <c r="G978">
        <v>1</v>
      </c>
      <c r="H978">
        <v>200</v>
      </c>
      <c r="I978">
        <v>3</v>
      </c>
      <c r="J978">
        <v>75</v>
      </c>
      <c r="K978">
        <f t="shared" si="105"/>
        <v>4.4000000000000004</v>
      </c>
      <c r="L978">
        <f t="shared" si="106"/>
        <v>44</v>
      </c>
      <c r="M978">
        <f t="shared" si="107"/>
        <v>60</v>
      </c>
      <c r="N978">
        <f t="shared" si="108"/>
        <v>35</v>
      </c>
      <c r="O978">
        <f t="shared" si="109"/>
        <v>46</v>
      </c>
      <c r="P978" t="str">
        <f t="shared" si="110"/>
        <v>Placement Ready</v>
      </c>
      <c r="Q978" t="str">
        <f t="shared" si="111"/>
        <v>Medium</v>
      </c>
    </row>
    <row r="979" spans="1:17" x14ac:dyDescent="0.3">
      <c r="A979">
        <v>1978</v>
      </c>
      <c r="B979">
        <v>10</v>
      </c>
      <c r="C979">
        <v>5</v>
      </c>
      <c r="D979">
        <v>3</v>
      </c>
      <c r="E979">
        <v>6</v>
      </c>
      <c r="F979">
        <v>1</v>
      </c>
      <c r="G979">
        <v>2</v>
      </c>
      <c r="H979">
        <v>231</v>
      </c>
      <c r="I979">
        <v>4</v>
      </c>
      <c r="J979">
        <v>43</v>
      </c>
      <c r="K979">
        <f t="shared" si="105"/>
        <v>5</v>
      </c>
      <c r="L979">
        <f t="shared" si="106"/>
        <v>50</v>
      </c>
      <c r="M979">
        <f t="shared" si="107"/>
        <v>60</v>
      </c>
      <c r="N979">
        <f t="shared" si="108"/>
        <v>50</v>
      </c>
      <c r="O979">
        <f t="shared" si="109"/>
        <v>53</v>
      </c>
      <c r="P979" t="str">
        <f t="shared" si="110"/>
        <v>Not Ready</v>
      </c>
      <c r="Q979" t="str">
        <f t="shared" si="111"/>
        <v>Medium</v>
      </c>
    </row>
    <row r="980" spans="1:17" x14ac:dyDescent="0.3">
      <c r="A980">
        <v>1979</v>
      </c>
      <c r="B980">
        <v>4</v>
      </c>
      <c r="C980">
        <v>5</v>
      </c>
      <c r="D980">
        <v>3</v>
      </c>
      <c r="E980">
        <v>8</v>
      </c>
      <c r="F980">
        <v>10</v>
      </c>
      <c r="G980">
        <v>1</v>
      </c>
      <c r="H980">
        <v>232</v>
      </c>
      <c r="I980">
        <v>5</v>
      </c>
      <c r="J980">
        <v>80</v>
      </c>
      <c r="K980">
        <f t="shared" si="105"/>
        <v>6</v>
      </c>
      <c r="L980">
        <f t="shared" si="106"/>
        <v>60</v>
      </c>
      <c r="M980">
        <f t="shared" si="107"/>
        <v>60</v>
      </c>
      <c r="N980">
        <f t="shared" si="108"/>
        <v>55</v>
      </c>
      <c r="O980">
        <f t="shared" si="109"/>
        <v>59</v>
      </c>
      <c r="P980" t="str">
        <f t="shared" si="110"/>
        <v>Placement Ready</v>
      </c>
      <c r="Q980" t="str">
        <f t="shared" si="111"/>
        <v>Medium</v>
      </c>
    </row>
    <row r="981" spans="1:17" x14ac:dyDescent="0.3">
      <c r="A981">
        <v>1980</v>
      </c>
      <c r="B981">
        <v>4</v>
      </c>
      <c r="C981">
        <v>5</v>
      </c>
      <c r="D981">
        <v>7</v>
      </c>
      <c r="E981">
        <v>1</v>
      </c>
      <c r="F981">
        <v>3</v>
      </c>
      <c r="G981">
        <v>7</v>
      </c>
      <c r="H981">
        <v>136</v>
      </c>
      <c r="I981">
        <v>2</v>
      </c>
      <c r="J981">
        <v>63</v>
      </c>
      <c r="K981">
        <f t="shared" si="105"/>
        <v>4</v>
      </c>
      <c r="L981">
        <f t="shared" si="106"/>
        <v>40</v>
      </c>
      <c r="M981">
        <f t="shared" si="107"/>
        <v>40</v>
      </c>
      <c r="N981">
        <f t="shared" si="108"/>
        <v>55</v>
      </c>
      <c r="O981">
        <f t="shared" si="109"/>
        <v>45</v>
      </c>
      <c r="P981" t="str">
        <f t="shared" si="110"/>
        <v>Needs Improvement</v>
      </c>
      <c r="Q981" t="str">
        <f t="shared" si="111"/>
        <v>Medium</v>
      </c>
    </row>
    <row r="982" spans="1:17" x14ac:dyDescent="0.3">
      <c r="A982">
        <v>1981</v>
      </c>
      <c r="B982">
        <v>6</v>
      </c>
      <c r="C982">
        <v>9</v>
      </c>
      <c r="D982">
        <v>3</v>
      </c>
      <c r="E982">
        <v>10</v>
      </c>
      <c r="F982">
        <v>9</v>
      </c>
      <c r="G982">
        <v>5</v>
      </c>
      <c r="H982">
        <v>204</v>
      </c>
      <c r="I982">
        <v>1</v>
      </c>
      <c r="J982">
        <v>47</v>
      </c>
      <c r="K982">
        <f t="shared" si="105"/>
        <v>7.4</v>
      </c>
      <c r="L982">
        <f t="shared" si="106"/>
        <v>74</v>
      </c>
      <c r="M982">
        <f t="shared" si="107"/>
        <v>60</v>
      </c>
      <c r="N982">
        <f t="shared" si="108"/>
        <v>35</v>
      </c>
      <c r="O982">
        <f t="shared" si="109"/>
        <v>58</v>
      </c>
      <c r="P982" t="str">
        <f t="shared" si="110"/>
        <v>Not Ready</v>
      </c>
      <c r="Q982" t="str">
        <f t="shared" si="111"/>
        <v>Medium</v>
      </c>
    </row>
    <row r="983" spans="1:17" x14ac:dyDescent="0.3">
      <c r="A983">
        <v>1982</v>
      </c>
      <c r="B983">
        <v>6</v>
      </c>
      <c r="C983">
        <v>5</v>
      </c>
      <c r="D983">
        <v>3</v>
      </c>
      <c r="E983">
        <v>5</v>
      </c>
      <c r="F983">
        <v>2</v>
      </c>
      <c r="G983">
        <v>8</v>
      </c>
      <c r="H983">
        <v>381</v>
      </c>
      <c r="I983">
        <v>5</v>
      </c>
      <c r="J983">
        <v>81</v>
      </c>
      <c r="K983">
        <f t="shared" si="105"/>
        <v>4.2</v>
      </c>
      <c r="L983">
        <f t="shared" si="106"/>
        <v>42</v>
      </c>
      <c r="M983">
        <f t="shared" si="107"/>
        <v>80</v>
      </c>
      <c r="N983">
        <f t="shared" si="108"/>
        <v>90</v>
      </c>
      <c r="O983">
        <f t="shared" si="109"/>
        <v>68</v>
      </c>
      <c r="P983" t="str">
        <f t="shared" si="110"/>
        <v>Placement Ready</v>
      </c>
      <c r="Q983" t="str">
        <f t="shared" si="111"/>
        <v>Medium</v>
      </c>
    </row>
    <row r="984" spans="1:17" x14ac:dyDescent="0.3">
      <c r="A984">
        <v>1983</v>
      </c>
      <c r="B984">
        <v>4</v>
      </c>
      <c r="C984">
        <v>8</v>
      </c>
      <c r="D984">
        <v>8</v>
      </c>
      <c r="E984">
        <v>7</v>
      </c>
      <c r="F984">
        <v>9</v>
      </c>
      <c r="G984">
        <v>5</v>
      </c>
      <c r="H984">
        <v>458</v>
      </c>
      <c r="I984">
        <v>2</v>
      </c>
      <c r="J984">
        <v>58</v>
      </c>
      <c r="K984">
        <f t="shared" si="105"/>
        <v>7.2</v>
      </c>
      <c r="L984">
        <f t="shared" si="106"/>
        <v>72</v>
      </c>
      <c r="M984">
        <f t="shared" si="107"/>
        <v>100</v>
      </c>
      <c r="N984">
        <f t="shared" si="108"/>
        <v>45</v>
      </c>
      <c r="O984">
        <f t="shared" si="109"/>
        <v>72</v>
      </c>
      <c r="P984" t="str">
        <f t="shared" si="110"/>
        <v>Needs Improvement</v>
      </c>
      <c r="Q984" t="str">
        <f t="shared" si="111"/>
        <v>High</v>
      </c>
    </row>
    <row r="985" spans="1:17" x14ac:dyDescent="0.3">
      <c r="A985">
        <v>1984</v>
      </c>
      <c r="B985">
        <v>4</v>
      </c>
      <c r="C985">
        <v>8</v>
      </c>
      <c r="D985">
        <v>3</v>
      </c>
      <c r="E985">
        <v>7</v>
      </c>
      <c r="F985">
        <v>2</v>
      </c>
      <c r="G985">
        <v>3</v>
      </c>
      <c r="H985">
        <v>126</v>
      </c>
      <c r="I985">
        <v>3</v>
      </c>
      <c r="J985">
        <v>88</v>
      </c>
      <c r="K985">
        <f t="shared" si="105"/>
        <v>4.8</v>
      </c>
      <c r="L985">
        <f t="shared" si="106"/>
        <v>48</v>
      </c>
      <c r="M985">
        <f t="shared" si="107"/>
        <v>40</v>
      </c>
      <c r="N985">
        <f t="shared" si="108"/>
        <v>45</v>
      </c>
      <c r="O985">
        <f t="shared" si="109"/>
        <v>45</v>
      </c>
      <c r="P985" t="str">
        <f t="shared" si="110"/>
        <v>Placement Ready</v>
      </c>
      <c r="Q985" t="str">
        <f t="shared" si="111"/>
        <v>Medium</v>
      </c>
    </row>
    <row r="986" spans="1:17" x14ac:dyDescent="0.3">
      <c r="A986">
        <v>1985</v>
      </c>
      <c r="B986">
        <v>9</v>
      </c>
      <c r="C986">
        <v>10</v>
      </c>
      <c r="D986">
        <v>8</v>
      </c>
      <c r="E986">
        <v>5</v>
      </c>
      <c r="F986">
        <v>7</v>
      </c>
      <c r="G986">
        <v>4</v>
      </c>
      <c r="H986">
        <v>372</v>
      </c>
      <c r="I986">
        <v>5</v>
      </c>
      <c r="J986">
        <v>86</v>
      </c>
      <c r="K986">
        <f t="shared" si="105"/>
        <v>7.8</v>
      </c>
      <c r="L986">
        <f t="shared" si="106"/>
        <v>78</v>
      </c>
      <c r="M986">
        <f t="shared" si="107"/>
        <v>80</v>
      </c>
      <c r="N986">
        <f t="shared" si="108"/>
        <v>70</v>
      </c>
      <c r="O986">
        <f t="shared" si="109"/>
        <v>76</v>
      </c>
      <c r="P986" t="str">
        <f t="shared" si="110"/>
        <v>Placement Ready</v>
      </c>
      <c r="Q986" t="str">
        <f t="shared" si="111"/>
        <v>High</v>
      </c>
    </row>
    <row r="987" spans="1:17" x14ac:dyDescent="0.3">
      <c r="A987">
        <v>1986</v>
      </c>
      <c r="B987">
        <v>5</v>
      </c>
      <c r="C987">
        <v>7</v>
      </c>
      <c r="D987">
        <v>3</v>
      </c>
      <c r="E987">
        <v>6</v>
      </c>
      <c r="F987">
        <v>5</v>
      </c>
      <c r="G987">
        <v>4</v>
      </c>
      <c r="H987">
        <v>355</v>
      </c>
      <c r="I987">
        <v>1</v>
      </c>
      <c r="J987">
        <v>74</v>
      </c>
      <c r="K987">
        <f t="shared" si="105"/>
        <v>5.2</v>
      </c>
      <c r="L987">
        <f t="shared" si="106"/>
        <v>52</v>
      </c>
      <c r="M987">
        <f t="shared" si="107"/>
        <v>80</v>
      </c>
      <c r="N987">
        <f t="shared" si="108"/>
        <v>30</v>
      </c>
      <c r="O987">
        <f t="shared" si="109"/>
        <v>54</v>
      </c>
      <c r="P987" t="str">
        <f t="shared" si="110"/>
        <v>Needs Improvement</v>
      </c>
      <c r="Q987" t="str">
        <f t="shared" si="111"/>
        <v>Medium</v>
      </c>
    </row>
    <row r="988" spans="1:17" x14ac:dyDescent="0.3">
      <c r="A988">
        <v>1987</v>
      </c>
      <c r="B988">
        <v>8</v>
      </c>
      <c r="C988">
        <v>10</v>
      </c>
      <c r="D988">
        <v>10</v>
      </c>
      <c r="E988">
        <v>5</v>
      </c>
      <c r="F988">
        <v>8</v>
      </c>
      <c r="G988">
        <v>5</v>
      </c>
      <c r="H988">
        <v>245</v>
      </c>
      <c r="I988">
        <v>2</v>
      </c>
      <c r="J988">
        <v>92</v>
      </c>
      <c r="K988">
        <f t="shared" si="105"/>
        <v>8.1999999999999993</v>
      </c>
      <c r="L988">
        <f t="shared" si="106"/>
        <v>82</v>
      </c>
      <c r="M988">
        <f t="shared" si="107"/>
        <v>60</v>
      </c>
      <c r="N988">
        <f t="shared" si="108"/>
        <v>45</v>
      </c>
      <c r="O988">
        <f t="shared" si="109"/>
        <v>64</v>
      </c>
      <c r="P988" t="str">
        <f t="shared" si="110"/>
        <v>Placement Ready</v>
      </c>
      <c r="Q988" t="str">
        <f t="shared" si="111"/>
        <v>Medium</v>
      </c>
    </row>
    <row r="989" spans="1:17" x14ac:dyDescent="0.3">
      <c r="A989">
        <v>1988</v>
      </c>
      <c r="B989">
        <v>5</v>
      </c>
      <c r="C989">
        <v>6</v>
      </c>
      <c r="D989">
        <v>9</v>
      </c>
      <c r="E989">
        <v>4</v>
      </c>
      <c r="F989">
        <v>1</v>
      </c>
      <c r="G989">
        <v>4</v>
      </c>
      <c r="H989">
        <v>375</v>
      </c>
      <c r="I989">
        <v>2</v>
      </c>
      <c r="J989">
        <v>76</v>
      </c>
      <c r="K989">
        <f t="shared" si="105"/>
        <v>5</v>
      </c>
      <c r="L989">
        <f t="shared" si="106"/>
        <v>50</v>
      </c>
      <c r="M989">
        <f t="shared" si="107"/>
        <v>80</v>
      </c>
      <c r="N989">
        <f t="shared" si="108"/>
        <v>40</v>
      </c>
      <c r="O989">
        <f t="shared" si="109"/>
        <v>56</v>
      </c>
      <c r="P989" t="str">
        <f t="shared" si="110"/>
        <v>Placement Ready</v>
      </c>
      <c r="Q989" t="str">
        <f t="shared" si="111"/>
        <v>Medium</v>
      </c>
    </row>
    <row r="990" spans="1:17" x14ac:dyDescent="0.3">
      <c r="A990">
        <v>1989</v>
      </c>
      <c r="B990">
        <v>8</v>
      </c>
      <c r="C990">
        <v>6</v>
      </c>
      <c r="D990">
        <v>2</v>
      </c>
      <c r="E990">
        <v>6</v>
      </c>
      <c r="F990">
        <v>6</v>
      </c>
      <c r="G990">
        <v>4</v>
      </c>
      <c r="H990">
        <v>434</v>
      </c>
      <c r="I990">
        <v>1</v>
      </c>
      <c r="J990">
        <v>92</v>
      </c>
      <c r="K990">
        <f t="shared" si="105"/>
        <v>5.6</v>
      </c>
      <c r="L990">
        <f t="shared" si="106"/>
        <v>56</v>
      </c>
      <c r="M990">
        <f t="shared" si="107"/>
        <v>100</v>
      </c>
      <c r="N990">
        <f t="shared" si="108"/>
        <v>30</v>
      </c>
      <c r="O990">
        <f t="shared" si="109"/>
        <v>61</v>
      </c>
      <c r="P990" t="str">
        <f t="shared" si="110"/>
        <v>Placement Ready</v>
      </c>
      <c r="Q990" t="str">
        <f t="shared" si="111"/>
        <v>Medium</v>
      </c>
    </row>
    <row r="991" spans="1:17" x14ac:dyDescent="0.3">
      <c r="A991">
        <v>1990</v>
      </c>
      <c r="B991">
        <v>2</v>
      </c>
      <c r="C991">
        <v>2</v>
      </c>
      <c r="D991">
        <v>3</v>
      </c>
      <c r="E991">
        <v>2</v>
      </c>
      <c r="F991">
        <v>5</v>
      </c>
      <c r="G991">
        <v>1</v>
      </c>
      <c r="H991">
        <v>236</v>
      </c>
      <c r="I991">
        <v>5</v>
      </c>
      <c r="J991">
        <v>61</v>
      </c>
      <c r="K991">
        <f t="shared" si="105"/>
        <v>2.8</v>
      </c>
      <c r="L991">
        <f t="shared" si="106"/>
        <v>28</v>
      </c>
      <c r="M991">
        <f t="shared" si="107"/>
        <v>60</v>
      </c>
      <c r="N991">
        <f t="shared" si="108"/>
        <v>55</v>
      </c>
      <c r="O991">
        <f t="shared" si="109"/>
        <v>46</v>
      </c>
      <c r="P991" t="str">
        <f t="shared" si="110"/>
        <v>Needs Improvement</v>
      </c>
      <c r="Q991" t="str">
        <f t="shared" si="111"/>
        <v>Medium</v>
      </c>
    </row>
    <row r="992" spans="1:17" x14ac:dyDescent="0.3">
      <c r="A992">
        <v>1991</v>
      </c>
      <c r="B992">
        <v>2</v>
      </c>
      <c r="C992">
        <v>7</v>
      </c>
      <c r="D992">
        <v>10</v>
      </c>
      <c r="E992">
        <v>7</v>
      </c>
      <c r="F992">
        <v>8</v>
      </c>
      <c r="G992">
        <v>0</v>
      </c>
      <c r="H992">
        <v>78</v>
      </c>
      <c r="I992">
        <v>5</v>
      </c>
      <c r="J992">
        <v>56</v>
      </c>
      <c r="K992">
        <f t="shared" si="105"/>
        <v>6.8</v>
      </c>
      <c r="L992">
        <f t="shared" si="106"/>
        <v>68</v>
      </c>
      <c r="M992">
        <f t="shared" si="107"/>
        <v>40</v>
      </c>
      <c r="N992">
        <f t="shared" si="108"/>
        <v>50</v>
      </c>
      <c r="O992">
        <f t="shared" si="109"/>
        <v>54</v>
      </c>
      <c r="P992" t="str">
        <f t="shared" si="110"/>
        <v>Needs Improvement</v>
      </c>
      <c r="Q992" t="str">
        <f t="shared" si="111"/>
        <v>Medium</v>
      </c>
    </row>
    <row r="993" spans="1:17" x14ac:dyDescent="0.3">
      <c r="A993">
        <v>1992</v>
      </c>
      <c r="B993">
        <v>8</v>
      </c>
      <c r="C993">
        <v>2</v>
      </c>
      <c r="D993">
        <v>7</v>
      </c>
      <c r="E993">
        <v>3</v>
      </c>
      <c r="F993">
        <v>1</v>
      </c>
      <c r="G993">
        <v>6</v>
      </c>
      <c r="H993">
        <v>213</v>
      </c>
      <c r="I993">
        <v>0</v>
      </c>
      <c r="J993">
        <v>90</v>
      </c>
      <c r="K993">
        <f t="shared" si="105"/>
        <v>4.2</v>
      </c>
      <c r="L993">
        <f t="shared" si="106"/>
        <v>42</v>
      </c>
      <c r="M993">
        <f t="shared" si="107"/>
        <v>60</v>
      </c>
      <c r="N993">
        <f t="shared" si="108"/>
        <v>30</v>
      </c>
      <c r="O993">
        <f t="shared" si="109"/>
        <v>44</v>
      </c>
      <c r="P993" t="str">
        <f t="shared" si="110"/>
        <v>Placement Ready</v>
      </c>
      <c r="Q993" t="str">
        <f t="shared" si="111"/>
        <v>Medium</v>
      </c>
    </row>
    <row r="994" spans="1:17" x14ac:dyDescent="0.3">
      <c r="A994">
        <v>1993</v>
      </c>
      <c r="B994">
        <v>3</v>
      </c>
      <c r="C994">
        <v>10</v>
      </c>
      <c r="D994">
        <v>2</v>
      </c>
      <c r="E994">
        <v>3</v>
      </c>
      <c r="F994">
        <v>7</v>
      </c>
      <c r="G994">
        <v>0</v>
      </c>
      <c r="H994">
        <v>169</v>
      </c>
      <c r="I994">
        <v>3</v>
      </c>
      <c r="J994">
        <v>93</v>
      </c>
      <c r="K994">
        <f t="shared" si="105"/>
        <v>5</v>
      </c>
      <c r="L994">
        <f t="shared" si="106"/>
        <v>50</v>
      </c>
      <c r="M994">
        <f t="shared" si="107"/>
        <v>60</v>
      </c>
      <c r="N994">
        <f t="shared" si="108"/>
        <v>30</v>
      </c>
      <c r="O994">
        <f t="shared" si="109"/>
        <v>47</v>
      </c>
      <c r="P994" t="str">
        <f t="shared" si="110"/>
        <v>Placement Ready</v>
      </c>
      <c r="Q994" t="str">
        <f t="shared" si="111"/>
        <v>Medium</v>
      </c>
    </row>
    <row r="995" spans="1:17" x14ac:dyDescent="0.3">
      <c r="A995">
        <v>1994</v>
      </c>
      <c r="B995">
        <v>2</v>
      </c>
      <c r="C995">
        <v>9</v>
      </c>
      <c r="D995">
        <v>8</v>
      </c>
      <c r="E995">
        <v>4</v>
      </c>
      <c r="F995">
        <v>1</v>
      </c>
      <c r="G995">
        <v>2</v>
      </c>
      <c r="H995">
        <v>188</v>
      </c>
      <c r="I995">
        <v>3</v>
      </c>
      <c r="J995">
        <v>87</v>
      </c>
      <c r="K995">
        <f t="shared" si="105"/>
        <v>4.8</v>
      </c>
      <c r="L995">
        <f t="shared" si="106"/>
        <v>48</v>
      </c>
      <c r="M995">
        <f t="shared" si="107"/>
        <v>60</v>
      </c>
      <c r="N995">
        <f t="shared" si="108"/>
        <v>40</v>
      </c>
      <c r="O995">
        <f t="shared" si="109"/>
        <v>49</v>
      </c>
      <c r="P995" t="str">
        <f t="shared" si="110"/>
        <v>Placement Ready</v>
      </c>
      <c r="Q995" t="str">
        <f t="shared" si="111"/>
        <v>Medium</v>
      </c>
    </row>
    <row r="996" spans="1:17" x14ac:dyDescent="0.3">
      <c r="A996">
        <v>1995</v>
      </c>
      <c r="B996">
        <v>1</v>
      </c>
      <c r="C996">
        <v>3</v>
      </c>
      <c r="D996">
        <v>8</v>
      </c>
      <c r="E996">
        <v>2</v>
      </c>
      <c r="F996">
        <v>3</v>
      </c>
      <c r="G996">
        <v>1</v>
      </c>
      <c r="H996">
        <v>212</v>
      </c>
      <c r="I996">
        <v>1</v>
      </c>
      <c r="J996">
        <v>89</v>
      </c>
      <c r="K996">
        <f t="shared" si="105"/>
        <v>3.4</v>
      </c>
      <c r="L996">
        <f t="shared" si="106"/>
        <v>34</v>
      </c>
      <c r="M996">
        <f t="shared" si="107"/>
        <v>60</v>
      </c>
      <c r="N996">
        <f t="shared" si="108"/>
        <v>15</v>
      </c>
      <c r="O996">
        <f t="shared" si="109"/>
        <v>36</v>
      </c>
      <c r="P996" t="str">
        <f t="shared" si="110"/>
        <v>Placement Ready</v>
      </c>
      <c r="Q996" t="str">
        <f t="shared" si="111"/>
        <v>Low</v>
      </c>
    </row>
    <row r="997" spans="1:17" x14ac:dyDescent="0.3">
      <c r="A997">
        <v>1996</v>
      </c>
      <c r="B997">
        <v>4</v>
      </c>
      <c r="C997">
        <v>3</v>
      </c>
      <c r="D997">
        <v>6</v>
      </c>
      <c r="E997">
        <v>6</v>
      </c>
      <c r="F997">
        <v>5</v>
      </c>
      <c r="G997">
        <v>7</v>
      </c>
      <c r="H997">
        <v>271</v>
      </c>
      <c r="I997">
        <v>4</v>
      </c>
      <c r="J997">
        <v>47</v>
      </c>
      <c r="K997">
        <f t="shared" si="105"/>
        <v>4.8</v>
      </c>
      <c r="L997">
        <f t="shared" si="106"/>
        <v>48</v>
      </c>
      <c r="M997">
        <f t="shared" si="107"/>
        <v>80</v>
      </c>
      <c r="N997">
        <f t="shared" si="108"/>
        <v>75</v>
      </c>
      <c r="O997">
        <f t="shared" si="109"/>
        <v>66</v>
      </c>
      <c r="P997" t="str">
        <f t="shared" si="110"/>
        <v>Not Ready</v>
      </c>
      <c r="Q997" t="str">
        <f t="shared" si="111"/>
        <v>Medium</v>
      </c>
    </row>
    <row r="998" spans="1:17" x14ac:dyDescent="0.3">
      <c r="A998">
        <v>1997</v>
      </c>
      <c r="B998">
        <v>3</v>
      </c>
      <c r="C998">
        <v>4</v>
      </c>
      <c r="D998">
        <v>5</v>
      </c>
      <c r="E998">
        <v>2</v>
      </c>
      <c r="F998">
        <v>6</v>
      </c>
      <c r="G998">
        <v>4</v>
      </c>
      <c r="H998">
        <v>500</v>
      </c>
      <c r="I998">
        <v>1</v>
      </c>
      <c r="J998">
        <v>79</v>
      </c>
      <c r="K998">
        <f t="shared" si="105"/>
        <v>4</v>
      </c>
      <c r="L998">
        <f t="shared" si="106"/>
        <v>40</v>
      </c>
      <c r="M998">
        <f t="shared" si="107"/>
        <v>100</v>
      </c>
      <c r="N998">
        <f t="shared" si="108"/>
        <v>30</v>
      </c>
      <c r="O998">
        <f t="shared" si="109"/>
        <v>55</v>
      </c>
      <c r="P998" t="str">
        <f>IF(J998&gt;=75,"Placement Ready",IF(J998&gt;=50,"Needs Improvement","Not Ready"))</f>
        <v>Placement Ready</v>
      </c>
      <c r="Q998" t="str">
        <f t="shared" si="111"/>
        <v>Medium</v>
      </c>
    </row>
    <row r="999" spans="1:17" x14ac:dyDescent="0.3">
      <c r="A999">
        <v>1998</v>
      </c>
      <c r="B999">
        <v>6</v>
      </c>
      <c r="C999">
        <v>9</v>
      </c>
      <c r="D999">
        <v>3</v>
      </c>
      <c r="E999">
        <v>1</v>
      </c>
      <c r="F999">
        <v>5</v>
      </c>
      <c r="G999">
        <v>3</v>
      </c>
      <c r="H999">
        <v>433</v>
      </c>
      <c r="I999">
        <v>1</v>
      </c>
      <c r="J999">
        <v>94</v>
      </c>
      <c r="K999">
        <f t="shared" si="105"/>
        <v>4.8</v>
      </c>
      <c r="L999">
        <f t="shared" si="106"/>
        <v>48</v>
      </c>
      <c r="M999">
        <f t="shared" si="107"/>
        <v>100</v>
      </c>
      <c r="N999">
        <f t="shared" si="108"/>
        <v>25</v>
      </c>
      <c r="O999">
        <f t="shared" si="109"/>
        <v>57</v>
      </c>
      <c r="P999" t="str">
        <f t="shared" ref="P999:P1001" si="112">IF(J999&gt;=75,"Placement Ready",IF(J999&gt;=50,"Needs Improvement","Not Ready"))</f>
        <v>Placement Ready</v>
      </c>
      <c r="Q999" t="str">
        <f t="shared" si="111"/>
        <v>Medium</v>
      </c>
    </row>
    <row r="1000" spans="1:17" x14ac:dyDescent="0.3">
      <c r="A1000">
        <v>1999</v>
      </c>
      <c r="B1000">
        <v>5</v>
      </c>
      <c r="C1000">
        <v>5</v>
      </c>
      <c r="D1000">
        <v>4</v>
      </c>
      <c r="E1000">
        <v>9</v>
      </c>
      <c r="F1000">
        <v>2</v>
      </c>
      <c r="G1000">
        <v>3</v>
      </c>
      <c r="H1000">
        <v>130</v>
      </c>
      <c r="I1000">
        <v>4</v>
      </c>
      <c r="J1000">
        <v>84</v>
      </c>
      <c r="K1000">
        <f>AVERAGE(B1000:F1000)</f>
        <v>5</v>
      </c>
      <c r="L1000">
        <f t="shared" si="106"/>
        <v>50</v>
      </c>
      <c r="M1000">
        <f t="shared" si="107"/>
        <v>40</v>
      </c>
      <c r="N1000">
        <f t="shared" si="108"/>
        <v>55</v>
      </c>
      <c r="O1000">
        <f t="shared" si="109"/>
        <v>49</v>
      </c>
      <c r="P1000" t="str">
        <f t="shared" si="112"/>
        <v>Placement Ready</v>
      </c>
      <c r="Q1000" t="str">
        <f>IF(O1000&lt;40,"Low",IF(O1000&lt;=70,"Medium","High"))</f>
        <v>Medium</v>
      </c>
    </row>
    <row r="1001" spans="1:17" x14ac:dyDescent="0.3">
      <c r="A1001">
        <v>2000</v>
      </c>
      <c r="B1001">
        <v>9</v>
      </c>
      <c r="C1001">
        <v>4</v>
      </c>
      <c r="D1001">
        <v>10</v>
      </c>
      <c r="E1001">
        <v>9</v>
      </c>
      <c r="F1001">
        <v>8</v>
      </c>
      <c r="G1001">
        <v>0</v>
      </c>
      <c r="H1001">
        <v>164</v>
      </c>
      <c r="I1001">
        <v>5</v>
      </c>
      <c r="J1001">
        <v>64</v>
      </c>
      <c r="K1001">
        <f t="shared" ref="K1001" si="113">AVERAGE(B1001:F1001)</f>
        <v>8</v>
      </c>
      <c r="L1001">
        <f t="shared" si="106"/>
        <v>80</v>
      </c>
      <c r="M1001">
        <f t="shared" si="107"/>
        <v>60</v>
      </c>
      <c r="N1001">
        <f t="shared" si="108"/>
        <v>50</v>
      </c>
      <c r="O1001">
        <f t="shared" si="109"/>
        <v>65</v>
      </c>
      <c r="P1001" t="str">
        <f t="shared" si="112"/>
        <v>Needs Improvement</v>
      </c>
      <c r="Q1001" t="str">
        <f t="shared" ref="Q1001" si="114">IF(O1001&lt;40,"Low",IF(O1001&lt;=70,"Medium","High"))</f>
        <v>Medium</v>
      </c>
    </row>
    <row r="1002" spans="1:17" x14ac:dyDescent="0.3">
      <c r="A1002" t="b">
        <f>'Student Readiness Dashboard'!B3=COUNTA(Student_Skill_Data!2:1001)</f>
        <v>1</v>
      </c>
      <c r="L1002">
        <f>AVERAGE(Student_Skill_Data!2:1001)</f>
        <v>141.10882666666654</v>
      </c>
      <c r="P1002">
        <f>COUNTIF(Student_Skill_Data!P2:P1001,"Placement Ready")/COUNTA(Student_Skill_Data!A2:A1001)</f>
        <v>0.379</v>
      </c>
    </row>
  </sheetData>
  <pageMargins left="0.75" right="0.75" top="1" bottom="1" header="0.5" footer="0.5"/>
  <pageSetup orientation="portrait" r:id="rId1"/>
  <ignoredErrors>
    <ignoredError sqref="K1002:K1048576 K97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56A4-B1C5-4809-9263-0964430212E8}">
  <dimension ref="A3:B7"/>
  <sheetViews>
    <sheetView workbookViewId="0">
      <selection activeCell="A3" sqref="A3:B5"/>
    </sheetView>
  </sheetViews>
  <sheetFormatPr defaultRowHeight="14.4" x14ac:dyDescent="0.3"/>
  <cols>
    <col min="1" max="1" width="12.5546875" bestFit="1" customWidth="1"/>
    <col min="2" max="3" width="18.44140625" bestFit="1" customWidth="1"/>
  </cols>
  <sheetData>
    <row r="3" spans="1:2" x14ac:dyDescent="0.3">
      <c r="A3" s="1" t="s">
        <v>20</v>
      </c>
      <c r="B3" t="s">
        <v>26</v>
      </c>
    </row>
    <row r="4" spans="1:2" x14ac:dyDescent="0.3">
      <c r="A4" s="2" t="s">
        <v>27</v>
      </c>
      <c r="B4">
        <v>108</v>
      </c>
    </row>
    <row r="5" spans="1:2" x14ac:dyDescent="0.3">
      <c r="A5" s="2" t="s">
        <v>32</v>
      </c>
      <c r="B5">
        <v>42</v>
      </c>
    </row>
    <row r="6" spans="1:2" x14ac:dyDescent="0.3">
      <c r="A6" s="2" t="s">
        <v>33</v>
      </c>
      <c r="B6">
        <v>850</v>
      </c>
    </row>
    <row r="7" spans="1:2" x14ac:dyDescent="0.3">
      <c r="A7" s="2" t="s">
        <v>24</v>
      </c>
      <c r="B7">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5CE9-F4B6-4ECD-B6F0-50DD00C164FB}">
  <dimension ref="A3:E4"/>
  <sheetViews>
    <sheetView zoomScale="86" workbookViewId="0">
      <selection activeCell="F22" sqref="F22"/>
    </sheetView>
  </sheetViews>
  <sheetFormatPr defaultRowHeight="14.4" x14ac:dyDescent="0.3"/>
  <cols>
    <col min="1" max="1" width="16.33203125" bestFit="1" customWidth="1"/>
    <col min="2" max="2" width="20.21875" bestFit="1" customWidth="1"/>
    <col min="3" max="3" width="20.6640625" bestFit="1" customWidth="1"/>
    <col min="4" max="4" width="20.77734375" bestFit="1" customWidth="1"/>
    <col min="5" max="5" width="14.6640625" bestFit="1" customWidth="1"/>
  </cols>
  <sheetData>
    <row r="3" spans="1:5" x14ac:dyDescent="0.3">
      <c r="A3" t="s">
        <v>15</v>
      </c>
      <c r="B3" t="s">
        <v>16</v>
      </c>
      <c r="C3" t="s">
        <v>17</v>
      </c>
      <c r="D3" t="s">
        <v>18</v>
      </c>
      <c r="E3" t="s">
        <v>19</v>
      </c>
    </row>
    <row r="4" spans="1:5" x14ac:dyDescent="0.3">
      <c r="A4">
        <v>5531</v>
      </c>
      <c r="B4">
        <v>5621</v>
      </c>
      <c r="C4">
        <v>5555</v>
      </c>
      <c r="D4">
        <v>5445</v>
      </c>
      <c r="E4">
        <v>5410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34F0-914C-4CA2-99F7-800A622D7B48}">
  <dimension ref="A3:B7"/>
  <sheetViews>
    <sheetView workbookViewId="0">
      <selection activeCell="P18" sqref="P18"/>
    </sheetView>
  </sheetViews>
  <sheetFormatPr defaultRowHeight="14.4" x14ac:dyDescent="0.3"/>
  <cols>
    <col min="1" max="1" width="17.77734375" bestFit="1" customWidth="1"/>
    <col min="2" max="2" width="18.44140625" bestFit="1" customWidth="1"/>
  </cols>
  <sheetData>
    <row r="3" spans="1:2" x14ac:dyDescent="0.3">
      <c r="A3" s="1" t="s">
        <v>20</v>
      </c>
      <c r="B3" t="s">
        <v>26</v>
      </c>
    </row>
    <row r="4" spans="1:2" x14ac:dyDescent="0.3">
      <c r="A4" s="2" t="s">
        <v>21</v>
      </c>
      <c r="B4">
        <v>442</v>
      </c>
    </row>
    <row r="5" spans="1:2" x14ac:dyDescent="0.3">
      <c r="A5" s="2" t="s">
        <v>22</v>
      </c>
      <c r="B5">
        <v>179</v>
      </c>
    </row>
    <row r="6" spans="1:2" x14ac:dyDescent="0.3">
      <c r="A6" s="2" t="s">
        <v>23</v>
      </c>
      <c r="B6">
        <v>379</v>
      </c>
    </row>
    <row r="7" spans="1:2" x14ac:dyDescent="0.3">
      <c r="A7" s="2" t="s">
        <v>24</v>
      </c>
      <c r="B7">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6649-4F59-4449-9CE1-B455D876E670}">
  <dimension ref="B2:E3"/>
  <sheetViews>
    <sheetView tabSelected="1" topLeftCell="A18" zoomScale="73" workbookViewId="0">
      <selection activeCell="G31" sqref="G31"/>
    </sheetView>
  </sheetViews>
  <sheetFormatPr defaultRowHeight="14.4" x14ac:dyDescent="0.3"/>
  <cols>
    <col min="2" max="2" width="32.33203125" customWidth="1"/>
    <col min="3" max="3" width="22.33203125" customWidth="1"/>
    <col min="4" max="4" width="27.5546875" customWidth="1"/>
    <col min="5" max="5" width="36.109375" customWidth="1"/>
    <col min="6" max="6" width="34" customWidth="1"/>
    <col min="7" max="7" width="31.6640625" customWidth="1"/>
    <col min="8" max="8" width="26.77734375" customWidth="1"/>
    <col min="9" max="9" width="16.77734375" customWidth="1"/>
    <col min="10" max="10" width="22.88671875" customWidth="1"/>
  </cols>
  <sheetData>
    <row r="2" spans="2:5" ht="23.4" x14ac:dyDescent="0.45">
      <c r="B2" s="3" t="s">
        <v>28</v>
      </c>
      <c r="C2" s="3" t="s">
        <v>29</v>
      </c>
      <c r="D2" s="3" t="s">
        <v>30</v>
      </c>
      <c r="E2" s="3" t="s">
        <v>31</v>
      </c>
    </row>
    <row r="3" spans="2:5" ht="18" x14ac:dyDescent="0.35">
      <c r="B3" s="4">
        <f>COUNTA(Student_Skill_Data!2:1001)</f>
        <v>17000</v>
      </c>
      <c r="C3" s="4">
        <f>AVERAGE(Student_Skill_Data!2:1001)</f>
        <v>141.10882666666654</v>
      </c>
      <c r="D3" s="4">
        <f>AVERAGE(Student_Skill_Data!J2:J1001)</f>
        <v>67.459000000000003</v>
      </c>
      <c r="E3" s="4">
        <f>COUNTIF(Student_Skill_Data!P2:P1001,"Placement Ready")/COUNTA(Student_Skill_Data!A2:A1001)</f>
        <v>0.379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Student_Skill_Data</vt:lpstr>
      <vt:lpstr>Pivot_Readiness</vt:lpstr>
      <vt:lpstr>Pivot Skill Levels</vt:lpstr>
      <vt:lpstr>placement of std</vt:lpstr>
      <vt:lpstr>Student Readiness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Goutham vaishnav</cp:lastModifiedBy>
  <dcterms:created xsi:type="dcterms:W3CDTF">2025-12-27T11:16:07Z</dcterms:created>
  <dcterms:modified xsi:type="dcterms:W3CDTF">2025-12-27T15:32:44Z</dcterms:modified>
</cp:coreProperties>
</file>